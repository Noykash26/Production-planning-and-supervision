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yda\Desktop\"/>
    </mc:Choice>
  </mc:AlternateContent>
  <xr:revisionPtr revIDLastSave="0" documentId="13_ncr:1_{F6294E43-1539-44FE-B78A-43FD4CAA0732}" xr6:coauthVersionLast="45" xr6:coauthVersionMax="45" xr10:uidLastSave="{00000000-0000-0000-0000-000000000000}"/>
  <bookViews>
    <workbookView xWindow="-110" yWindow="-110" windowWidth="19420" windowHeight="10420" xr2:uid="{C2965951-AB29-480D-B278-B69C067EBD4A}"/>
  </bookViews>
  <sheets>
    <sheet name="Input" sheetId="4" r:id="rId1"/>
    <sheet name="PartB1" sheetId="2" r:id="rId2"/>
    <sheet name="PartB2" sheetId="3" r:id="rId3"/>
    <sheet name="PartB3" sheetId="1" r:id="rId4"/>
    <sheet name="Sheet1" sheetId="6" r:id="rId5"/>
    <sheet name="Sheet2" sheetId="7" r:id="rId6"/>
    <sheet name="Sheet3" sheetId="11" r:id="rId7"/>
  </sheets>
  <functionGroups builtInGroupCount="19"/>
  <definedNames>
    <definedName name="solver_adj" localSheetId="4" hidden="1">Sheet1!$B$6:$U$6</definedName>
    <definedName name="solver_cvg" localSheetId="4" hidden="1">0.0001</definedName>
    <definedName name="solver_drv" localSheetId="4" hidden="1">2</definedName>
    <definedName name="solver_eng" localSheetId="4" hidden="1">2</definedName>
    <definedName name="solver_est" localSheetId="4" hidden="1">1</definedName>
    <definedName name="solver_itr" localSheetId="4" hidden="1">2147483647</definedName>
    <definedName name="solver_lhs1" localSheetId="4" hidden="1">Sheet1!$B$6:$U$6</definedName>
    <definedName name="solver_lhs2" localSheetId="4" hidden="1">Sheet1!$U$24:$U$43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2</definedName>
    <definedName name="solver_nwt" localSheetId="4" hidden="1">1</definedName>
    <definedName name="solver_opt" localSheetId="4" hidden="1">Sheet1!$B$19</definedName>
    <definedName name="solver_pre" localSheetId="4" hidden="1">0.000001</definedName>
    <definedName name="solver_rbv" localSheetId="4" hidden="1">2</definedName>
    <definedName name="solver_rel1" localSheetId="4" hidden="1">5</definedName>
    <definedName name="solver_rel2" localSheetId="4" hidden="1">1</definedName>
    <definedName name="solver_rhs1" localSheetId="4" hidden="1">binary</definedName>
    <definedName name="solver_rhs2" localSheetId="4" hidden="1">Sheet1!$W$24:$W$43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120</definedName>
    <definedName name="solver_tol" localSheetId="4" hidden="1">0.01</definedName>
    <definedName name="solver_typ" localSheetId="4" hidden="1">2</definedName>
    <definedName name="solver_val" localSheetId="4" hidden="1">0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6" l="1" a="1"/>
  <c r="B19" i="6" s="1"/>
  <c r="D5" i="11" l="1"/>
  <c r="D6" i="11" s="1"/>
  <c r="AF5" i="11"/>
  <c r="AF6" i="11" s="1"/>
  <c r="BN5" i="11"/>
  <c r="BN6" i="11" s="1"/>
  <c r="BM5" i="11"/>
  <c r="BM6" i="11" s="1"/>
  <c r="U5" i="11"/>
  <c r="U6" i="11" s="1"/>
  <c r="CS5" i="11"/>
  <c r="CS6" i="11" s="1"/>
  <c r="BV5" i="11"/>
  <c r="BV6" i="11" s="1"/>
  <c r="AD5" i="11"/>
  <c r="AD6" i="11" s="1"/>
  <c r="B5" i="11"/>
  <c r="B6" i="11" s="1"/>
  <c r="O5" i="11"/>
  <c r="O6" i="11" s="1"/>
  <c r="BU5" i="11"/>
  <c r="BU6" i="11" s="1"/>
  <c r="AW5" i="11"/>
  <c r="AW6" i="11" s="1"/>
  <c r="BF5" i="11"/>
  <c r="BF6" i="11" s="1"/>
  <c r="BJ5" i="11"/>
  <c r="BJ6" i="11" s="1"/>
  <c r="H5" i="11"/>
  <c r="H6" i="11" s="1"/>
  <c r="BO5" i="11"/>
  <c r="BO6" i="11" s="1"/>
  <c r="V5" i="11"/>
  <c r="V6" i="11" s="1"/>
  <c r="BA5" i="11"/>
  <c r="BA6" i="11" s="1"/>
  <c r="BB5" i="11"/>
  <c r="BB6" i="11" s="1"/>
  <c r="BT5" i="11"/>
  <c r="BT6" i="11" s="1"/>
  <c r="BE5" i="11"/>
  <c r="BE6" i="11" s="1"/>
  <c r="CJ5" i="11"/>
  <c r="CJ6" i="11" s="1"/>
  <c r="X5" i="11"/>
  <c r="X6" i="11" s="1"/>
  <c r="Q5" i="11"/>
  <c r="Q6" i="11" s="1"/>
  <c r="CM5" i="11"/>
  <c r="CM6" i="11" s="1"/>
  <c r="AV5" i="11"/>
  <c r="AV6" i="11" s="1"/>
  <c r="AP5" i="11"/>
  <c r="AP6" i="11" s="1"/>
  <c r="CG5" i="11"/>
  <c r="CG6" i="11" s="1"/>
  <c r="BW5" i="11"/>
  <c r="BW6" i="11" s="1"/>
  <c r="CC5" i="11"/>
  <c r="CC6" i="11" s="1"/>
  <c r="AI5" i="11"/>
  <c r="AI6" i="11" s="1"/>
  <c r="F5" i="11"/>
  <c r="F6" i="11" s="1"/>
  <c r="CU5" i="11"/>
  <c r="CU6" i="11" s="1"/>
  <c r="AG5" i="11"/>
  <c r="AG6" i="11" s="1"/>
  <c r="CO5" i="11"/>
  <c r="CO6" i="11" s="1"/>
  <c r="CB5" i="11"/>
  <c r="CB6" i="11" s="1"/>
  <c r="BQ5" i="11"/>
  <c r="BQ6" i="11" s="1"/>
  <c r="L5" i="11"/>
  <c r="L6" i="11" s="1"/>
  <c r="CH5" i="11"/>
  <c r="CH6" i="11" s="1"/>
  <c r="AU5" i="11"/>
  <c r="AU6" i="11" s="1"/>
  <c r="G5" i="11"/>
  <c r="G6" i="11" s="1"/>
  <c r="I5" i="11"/>
  <c r="I6" i="11" s="1"/>
  <c r="AQ5" i="11"/>
  <c r="AQ6" i="11" s="1"/>
  <c r="Z5" i="11"/>
  <c r="Z6" i="11" s="1"/>
  <c r="S5" i="11"/>
  <c r="S6" i="11" s="1"/>
  <c r="C5" i="11"/>
  <c r="C6" i="11" s="1"/>
  <c r="AR5" i="11"/>
  <c r="AR6" i="11" s="1"/>
  <c r="BL5" i="11"/>
  <c r="BL6" i="11" s="1"/>
  <c r="BK5" i="11"/>
  <c r="BK6" i="11" s="1"/>
  <c r="AB5" i="11"/>
  <c r="AB6" i="11" s="1"/>
  <c r="BX5" i="11"/>
  <c r="BX6" i="11" s="1"/>
  <c r="CV5" i="11"/>
  <c r="CV6" i="11" s="1"/>
  <c r="AN5" i="11"/>
  <c r="AN6" i="11" s="1"/>
  <c r="AS5" i="11"/>
  <c r="AS6" i="11" s="1"/>
  <c r="BH5" i="11"/>
  <c r="BH6" i="11" s="1"/>
  <c r="CK5" i="11"/>
  <c r="CK6" i="11" s="1"/>
  <c r="AO5" i="11"/>
  <c r="AO6" i="11" s="1"/>
  <c r="AZ5" i="11"/>
  <c r="AZ6" i="11" s="1"/>
  <c r="BD5" i="11"/>
  <c r="BD6" i="11" s="1"/>
  <c r="CQ5" i="11"/>
  <c r="CQ6" i="11" s="1"/>
  <c r="BS5" i="11"/>
  <c r="BS6" i="11" s="1"/>
  <c r="AX5" i="11"/>
  <c r="AX6" i="11" s="1"/>
  <c r="AL5" i="11"/>
  <c r="AL6" i="11" s="1"/>
  <c r="N5" i="11"/>
  <c r="N6" i="11" s="1"/>
  <c r="W5" i="11"/>
  <c r="W6" i="11" s="1"/>
  <c r="Y5" i="11"/>
  <c r="Y6" i="11" s="1"/>
  <c r="AY5" i="11"/>
  <c r="AY6" i="11" s="1"/>
  <c r="CL5" i="11"/>
  <c r="CL6" i="11" s="1"/>
  <c r="AJ5" i="11"/>
  <c r="AJ6" i="11" s="1"/>
  <c r="K5" i="11"/>
  <c r="K6" i="11" s="1"/>
  <c r="BI5" i="11"/>
  <c r="BI6" i="11" s="1"/>
  <c r="P5" i="11"/>
  <c r="P6" i="11" s="1"/>
  <c r="AA5" i="11"/>
  <c r="AA6" i="11" s="1"/>
  <c r="E5" i="11"/>
  <c r="E6" i="11" s="1"/>
  <c r="CD5" i="11"/>
  <c r="CD6" i="11" s="1"/>
  <c r="AC5" i="11"/>
  <c r="AC6" i="11" s="1"/>
  <c r="M5" i="11"/>
  <c r="M6" i="11" s="1"/>
  <c r="CE5" i="11"/>
  <c r="CE6" i="11" s="1"/>
  <c r="AM5" i="11"/>
  <c r="AM6" i="11" s="1"/>
  <c r="BC5" i="11"/>
  <c r="BC6" i="11" s="1"/>
  <c r="AK5" i="11"/>
  <c r="AK6" i="11" s="1"/>
  <c r="BZ5" i="11"/>
  <c r="BZ6" i="11" s="1"/>
  <c r="CI5" i="11"/>
  <c r="CI6" i="11" s="1"/>
  <c r="BR5" i="11"/>
  <c r="BR6" i="11" s="1"/>
  <c r="BG5" i="11"/>
  <c r="BG6" i="11" s="1"/>
  <c r="BP5" i="11"/>
  <c r="BP6" i="11" s="1"/>
  <c r="J5" i="11"/>
  <c r="J6" i="11" s="1"/>
  <c r="AE5" i="11"/>
  <c r="AE6" i="11" s="1"/>
  <c r="CR5" i="11"/>
  <c r="CR6" i="11" s="1"/>
  <c r="AH5" i="11"/>
  <c r="AH6" i="11" s="1"/>
  <c r="CP5" i="11"/>
  <c r="CP6" i="11" s="1"/>
  <c r="AT5" i="11"/>
  <c r="AT6" i="11" s="1"/>
  <c r="T5" i="11"/>
  <c r="T6" i="11" s="1"/>
  <c r="CF5" i="11"/>
  <c r="CF6" i="11" s="1"/>
  <c r="R5" i="11"/>
  <c r="R6" i="11" s="1"/>
  <c r="CT5" i="11"/>
  <c r="CT6" i="11" s="1"/>
  <c r="BY5" i="11"/>
  <c r="BY6" i="11" s="1"/>
  <c r="CW5" i="11"/>
  <c r="CW6" i="11" s="1"/>
  <c r="CN5" i="11"/>
  <c r="CN6" i="11" s="1"/>
  <c r="CA5" i="11"/>
  <c r="CA6" i="11" s="1"/>
  <c r="W24" i="6" l="1"/>
  <c r="W25" i="6" s="1"/>
  <c r="W26" i="6" s="1"/>
  <c r="W27" i="6" s="1"/>
  <c r="W28" i="6" s="1"/>
  <c r="W29" i="6" s="1"/>
  <c r="W30" i="6" s="1"/>
  <c r="W31" i="6" s="1"/>
  <c r="W32" i="6" s="1"/>
  <c r="W33" i="6" s="1"/>
  <c r="W34" i="6" s="1"/>
  <c r="W35" i="6" s="1"/>
  <c r="W36" i="6" s="1"/>
  <c r="W37" i="6" s="1"/>
  <c r="W38" i="6" s="1"/>
  <c r="W39" i="6" s="1"/>
  <c r="W40" i="6" s="1"/>
  <c r="W41" i="6" s="1"/>
  <c r="W42" i="6" s="1"/>
  <c r="W43" i="6" s="1"/>
  <c r="T43" i="6"/>
  <c r="S43" i="6"/>
  <c r="S42" i="6"/>
  <c r="R43" i="6"/>
  <c r="R42" i="6"/>
  <c r="R41" i="6"/>
  <c r="Q43" i="6"/>
  <c r="Q42" i="6"/>
  <c r="Q41" i="6"/>
  <c r="Q40" i="6"/>
  <c r="P43" i="6"/>
  <c r="P42" i="6"/>
  <c r="P41" i="6"/>
  <c r="P40" i="6"/>
  <c r="P39" i="6"/>
  <c r="O43" i="6"/>
  <c r="O42" i="6"/>
  <c r="O41" i="6"/>
  <c r="O40" i="6"/>
  <c r="O39" i="6"/>
  <c r="O38" i="6"/>
  <c r="N43" i="6"/>
  <c r="N42" i="6"/>
  <c r="N41" i="6"/>
  <c r="N40" i="6"/>
  <c r="N39" i="6"/>
  <c r="N38" i="6"/>
  <c r="N37" i="6"/>
  <c r="M43" i="6"/>
  <c r="M42" i="6"/>
  <c r="M41" i="6"/>
  <c r="M40" i="6"/>
  <c r="M39" i="6"/>
  <c r="M38" i="6"/>
  <c r="M37" i="6"/>
  <c r="M36" i="6"/>
  <c r="L43" i="6"/>
  <c r="L42" i="6"/>
  <c r="L41" i="6"/>
  <c r="L40" i="6"/>
  <c r="L39" i="6"/>
  <c r="L38" i="6"/>
  <c r="L37" i="6"/>
  <c r="L36" i="6"/>
  <c r="L35" i="6"/>
  <c r="K43" i="6"/>
  <c r="K42" i="6"/>
  <c r="K41" i="6"/>
  <c r="K40" i="6"/>
  <c r="K39" i="6"/>
  <c r="K38" i="6"/>
  <c r="K37" i="6"/>
  <c r="K36" i="6"/>
  <c r="K35" i="6"/>
  <c r="K34" i="6"/>
  <c r="J43" i="6"/>
  <c r="J42" i="6"/>
  <c r="J41" i="6"/>
  <c r="J40" i="6"/>
  <c r="J39" i="6"/>
  <c r="J38" i="6"/>
  <c r="J37" i="6"/>
  <c r="J36" i="6"/>
  <c r="J35" i="6"/>
  <c r="J34" i="6"/>
  <c r="I43" i="6"/>
  <c r="I42" i="6"/>
  <c r="I41" i="6"/>
  <c r="I40" i="6"/>
  <c r="I39" i="6"/>
  <c r="I38" i="6"/>
  <c r="I37" i="6"/>
  <c r="I36" i="6"/>
  <c r="I35" i="6"/>
  <c r="I34" i="6"/>
  <c r="H43" i="6"/>
  <c r="H42" i="6"/>
  <c r="H41" i="6"/>
  <c r="H40" i="6"/>
  <c r="H39" i="6"/>
  <c r="H38" i="6"/>
  <c r="H37" i="6"/>
  <c r="H36" i="6"/>
  <c r="H35" i="6"/>
  <c r="H34" i="6"/>
  <c r="G43" i="6"/>
  <c r="G42" i="6"/>
  <c r="G41" i="6"/>
  <c r="G40" i="6"/>
  <c r="G39" i="6"/>
  <c r="G38" i="6"/>
  <c r="G37" i="6"/>
  <c r="G36" i="6"/>
  <c r="G35" i="6"/>
  <c r="G34" i="6"/>
  <c r="F43" i="6"/>
  <c r="F42" i="6"/>
  <c r="F41" i="6"/>
  <c r="F40" i="6"/>
  <c r="F39" i="6"/>
  <c r="F38" i="6"/>
  <c r="F37" i="6"/>
  <c r="F36" i="6"/>
  <c r="F35" i="6"/>
  <c r="F34" i="6"/>
  <c r="E43" i="6"/>
  <c r="E42" i="6"/>
  <c r="E41" i="6"/>
  <c r="E40" i="6"/>
  <c r="E39" i="6"/>
  <c r="E38" i="6"/>
  <c r="E37" i="6"/>
  <c r="E36" i="6"/>
  <c r="E35" i="6"/>
  <c r="E34" i="6"/>
  <c r="D43" i="6"/>
  <c r="D42" i="6"/>
  <c r="D41" i="6"/>
  <c r="D40" i="6"/>
  <c r="D39" i="6"/>
  <c r="D38" i="6"/>
  <c r="D37" i="6"/>
  <c r="D36" i="6"/>
  <c r="D35" i="6"/>
  <c r="D34" i="6"/>
  <c r="C43" i="6"/>
  <c r="C42" i="6"/>
  <c r="C41" i="6"/>
  <c r="C40" i="6"/>
  <c r="C39" i="6"/>
  <c r="C38" i="6"/>
  <c r="C37" i="6"/>
  <c r="C36" i="6"/>
  <c r="C35" i="6"/>
  <c r="C34" i="6"/>
  <c r="B43" i="6"/>
  <c r="B42" i="6"/>
  <c r="B41" i="6"/>
  <c r="B40" i="6"/>
  <c r="B39" i="6"/>
  <c r="B38" i="6"/>
  <c r="B37" i="6"/>
  <c r="B36" i="6"/>
  <c r="B35" i="6"/>
  <c r="B34" i="6"/>
  <c r="A43" i="6"/>
  <c r="A42" i="6"/>
  <c r="A41" i="6"/>
  <c r="A40" i="6"/>
  <c r="A39" i="6"/>
  <c r="A38" i="6"/>
  <c r="A37" i="6"/>
  <c r="A36" i="6"/>
  <c r="A35" i="6"/>
  <c r="A34" i="6"/>
  <c r="J33" i="6"/>
  <c r="I33" i="6"/>
  <c r="H33" i="6"/>
  <c r="G33" i="6"/>
  <c r="F33" i="6"/>
  <c r="E33" i="6"/>
  <c r="D33" i="6"/>
  <c r="C33" i="6"/>
  <c r="B33" i="6"/>
  <c r="A33" i="6"/>
  <c r="I32" i="6"/>
  <c r="H32" i="6"/>
  <c r="G32" i="6"/>
  <c r="F32" i="6"/>
  <c r="E32" i="6"/>
  <c r="D32" i="6"/>
  <c r="C32" i="6"/>
  <c r="B32" i="6"/>
  <c r="A32" i="6"/>
  <c r="H31" i="6"/>
  <c r="G31" i="6"/>
  <c r="F31" i="6"/>
  <c r="E31" i="6"/>
  <c r="D31" i="6"/>
  <c r="C31" i="6"/>
  <c r="B31" i="6"/>
  <c r="A31" i="6"/>
  <c r="G30" i="6"/>
  <c r="F30" i="6"/>
  <c r="E30" i="6"/>
  <c r="D30" i="6"/>
  <c r="C30" i="6"/>
  <c r="B30" i="6"/>
  <c r="A30" i="6"/>
  <c r="F29" i="6"/>
  <c r="E29" i="6"/>
  <c r="D29" i="6"/>
  <c r="C29" i="6"/>
  <c r="B29" i="6"/>
  <c r="A29" i="6"/>
  <c r="E28" i="6"/>
  <c r="D28" i="6"/>
  <c r="C28" i="6"/>
  <c r="B28" i="6"/>
  <c r="A28" i="6"/>
  <c r="D27" i="6"/>
  <c r="C27" i="6"/>
  <c r="B27" i="6"/>
  <c r="A27" i="6"/>
  <c r="C26" i="6"/>
  <c r="B26" i="6"/>
  <c r="A26" i="6"/>
  <c r="B25" i="6"/>
  <c r="A25" i="6"/>
  <c r="A24" i="6"/>
  <c r="U24" i="6" s="1"/>
  <c r="U25" i="6" l="1"/>
  <c r="U43" i="6"/>
  <c r="U26" i="6"/>
  <c r="U27" i="6"/>
  <c r="U28" i="6"/>
  <c r="U37" i="6"/>
  <c r="U32" i="6"/>
  <c r="U30" i="6"/>
  <c r="U33" i="6"/>
  <c r="U41" i="6"/>
  <c r="U31" i="6"/>
  <c r="U29" i="6"/>
  <c r="U40" i="6"/>
  <c r="U39" i="6"/>
  <c r="U35" i="6"/>
  <c r="U38" i="6"/>
  <c r="U36" i="6"/>
  <c r="U34" i="6"/>
  <c r="U42" i="6"/>
  <c r="B14" i="11"/>
  <c r="C14" i="11" s="1"/>
  <c r="D14" i="11" s="1"/>
  <c r="E14" i="11" s="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W14" i="11" s="1"/>
  <c r="X14" i="11" s="1"/>
  <c r="Y14" i="11" s="1"/>
  <c r="Z14" i="11" s="1"/>
  <c r="AA14" i="11" s="1"/>
  <c r="AB14" i="11" s="1"/>
  <c r="AC14" i="11" s="1"/>
  <c r="AD14" i="11" s="1"/>
  <c r="AE14" i="11" s="1"/>
  <c r="AF14" i="11" s="1"/>
  <c r="AG14" i="11" s="1"/>
  <c r="AH14" i="11" s="1"/>
  <c r="AI14" i="11" s="1"/>
  <c r="AJ14" i="11" s="1"/>
  <c r="AK14" i="11" s="1"/>
  <c r="AL14" i="11" s="1"/>
  <c r="AM14" i="11" s="1"/>
  <c r="AN14" i="11" s="1"/>
  <c r="AO14" i="11" s="1"/>
  <c r="AP14" i="11" s="1"/>
  <c r="AQ14" i="11" s="1"/>
  <c r="AR14" i="11" s="1"/>
  <c r="AS14" i="11" s="1"/>
  <c r="AT14" i="11" s="1"/>
  <c r="AU14" i="11" s="1"/>
  <c r="AV14" i="11" s="1"/>
  <c r="AW14" i="11" s="1"/>
  <c r="AX14" i="11" s="1"/>
  <c r="AY14" i="11" s="1"/>
  <c r="AZ14" i="11" s="1"/>
  <c r="BA14" i="11" s="1"/>
  <c r="BB14" i="11" s="1"/>
  <c r="BC14" i="11" s="1"/>
  <c r="BD14" i="11" s="1"/>
  <c r="BE14" i="11" s="1"/>
  <c r="BF14" i="11" s="1"/>
  <c r="BG14" i="11" s="1"/>
  <c r="BH14" i="11" s="1"/>
  <c r="BI14" i="11" s="1"/>
  <c r="BJ14" i="11" s="1"/>
  <c r="BK14" i="11" s="1"/>
  <c r="BL14" i="11" s="1"/>
  <c r="BM14" i="11" s="1"/>
  <c r="BN14" i="11" s="1"/>
  <c r="BO14" i="11" s="1"/>
  <c r="BP14" i="11" s="1"/>
  <c r="BQ14" i="11" s="1"/>
  <c r="BR14" i="11" s="1"/>
  <c r="BS14" i="11" s="1"/>
  <c r="BT14" i="11" s="1"/>
  <c r="BU14" i="11" s="1"/>
  <c r="BV14" i="11" s="1"/>
  <c r="BW14" i="11" s="1"/>
  <c r="BX14" i="11" s="1"/>
  <c r="BY14" i="11" s="1"/>
  <c r="BZ14" i="11" s="1"/>
  <c r="CA14" i="11" s="1"/>
  <c r="CB14" i="11" s="1"/>
  <c r="CC14" i="11" s="1"/>
  <c r="CD14" i="11" s="1"/>
  <c r="CE14" i="11" s="1"/>
  <c r="CF14" i="11" s="1"/>
  <c r="CG14" i="11" s="1"/>
  <c r="CH14" i="11" s="1"/>
  <c r="CI14" i="11" s="1"/>
  <c r="CJ14" i="11" s="1"/>
  <c r="CK14" i="11" s="1"/>
  <c r="CL14" i="11" s="1"/>
  <c r="CM14" i="11" s="1"/>
  <c r="CN14" i="11" s="1"/>
  <c r="CO14" i="11" s="1"/>
  <c r="CP14" i="11" s="1"/>
  <c r="CQ14" i="11" s="1"/>
  <c r="CR14" i="11" s="1"/>
  <c r="CS14" i="11" s="1"/>
  <c r="CT14" i="11" s="1"/>
  <c r="CU14" i="11" s="1"/>
  <c r="CV14" i="11" s="1"/>
  <c r="CW14" i="11" s="1"/>
  <c r="B29" i="11" l="1"/>
  <c r="B21" i="11" l="1"/>
  <c r="C21" i="11" s="1"/>
  <c r="D21" i="11" s="1"/>
  <c r="E21" i="11" s="1"/>
  <c r="F21" i="11" s="1"/>
  <c r="G21" i="11" s="1"/>
  <c r="H21" i="11" s="1"/>
  <c r="I21" i="11" s="1"/>
  <c r="J21" i="11" s="1"/>
  <c r="K21" i="11" s="1"/>
  <c r="L21" i="11" s="1"/>
  <c r="M21" i="11" s="1"/>
  <c r="N21" i="11" s="1"/>
  <c r="O21" i="11" s="1"/>
  <c r="P21" i="11" s="1"/>
  <c r="Q21" i="11" s="1"/>
  <c r="R21" i="11" s="1"/>
  <c r="S21" i="11" s="1"/>
  <c r="T21" i="11" s="1"/>
  <c r="U21" i="11" s="1"/>
  <c r="V21" i="11" s="1"/>
  <c r="W21" i="11" s="1"/>
  <c r="X21" i="11" s="1"/>
  <c r="Y21" i="11" s="1"/>
  <c r="Z21" i="11" s="1"/>
  <c r="AA21" i="11" s="1"/>
  <c r="AB21" i="11" s="1"/>
  <c r="AC21" i="11" s="1"/>
  <c r="AD21" i="11" s="1"/>
  <c r="AE21" i="11" s="1"/>
  <c r="AF21" i="11" s="1"/>
  <c r="AG21" i="11" s="1"/>
  <c r="AH21" i="11" s="1"/>
  <c r="AI21" i="11" s="1"/>
  <c r="AJ21" i="11" s="1"/>
  <c r="AK21" i="11" s="1"/>
  <c r="AL21" i="11" s="1"/>
  <c r="AM21" i="11" s="1"/>
  <c r="AN21" i="11" s="1"/>
  <c r="AO21" i="11" s="1"/>
  <c r="AP21" i="11" s="1"/>
  <c r="AQ21" i="11" s="1"/>
  <c r="AR21" i="11" s="1"/>
  <c r="AS21" i="11" s="1"/>
  <c r="AT21" i="11" s="1"/>
  <c r="AU21" i="11" s="1"/>
  <c r="AV21" i="11" s="1"/>
  <c r="AW21" i="11" s="1"/>
  <c r="AX21" i="11" s="1"/>
  <c r="AY21" i="11" s="1"/>
  <c r="AZ21" i="11" s="1"/>
  <c r="BA21" i="11" s="1"/>
  <c r="BB21" i="11" s="1"/>
  <c r="BC21" i="11" s="1"/>
  <c r="BD21" i="11" s="1"/>
  <c r="BE21" i="11" s="1"/>
  <c r="BF21" i="11" s="1"/>
  <c r="BG21" i="11" s="1"/>
  <c r="BH21" i="11" s="1"/>
  <c r="BI21" i="11" s="1"/>
  <c r="BJ21" i="11" s="1"/>
  <c r="BK21" i="11" s="1"/>
  <c r="BL21" i="11" s="1"/>
  <c r="BM21" i="11" s="1"/>
  <c r="BN21" i="11" s="1"/>
  <c r="BO21" i="11" s="1"/>
  <c r="BP21" i="11" s="1"/>
  <c r="BQ21" i="11" s="1"/>
  <c r="BR21" i="11" s="1"/>
  <c r="BS21" i="11" s="1"/>
  <c r="BT21" i="11" s="1"/>
  <c r="BU21" i="11" s="1"/>
  <c r="BV21" i="11" s="1"/>
  <c r="BW21" i="11" s="1"/>
  <c r="BX21" i="11" s="1"/>
  <c r="BY21" i="11" s="1"/>
  <c r="BZ21" i="11" s="1"/>
  <c r="CA21" i="11" s="1"/>
  <c r="CB21" i="11" s="1"/>
  <c r="CC21" i="11" s="1"/>
  <c r="CD21" i="11" s="1"/>
  <c r="CE21" i="11" s="1"/>
  <c r="CF21" i="11" s="1"/>
  <c r="CG21" i="11" s="1"/>
  <c r="CH21" i="11" s="1"/>
  <c r="CI21" i="11" s="1"/>
  <c r="CJ21" i="11" s="1"/>
  <c r="CK21" i="11" s="1"/>
  <c r="CL21" i="11" s="1"/>
  <c r="CM21" i="11" s="1"/>
  <c r="CN21" i="11" s="1"/>
  <c r="CO21" i="11" s="1"/>
  <c r="CP21" i="11" s="1"/>
  <c r="CQ21" i="11" s="1"/>
  <c r="CR21" i="11" s="1"/>
  <c r="CS21" i="11" s="1"/>
  <c r="CT21" i="11" s="1"/>
  <c r="CU21" i="11" s="1"/>
  <c r="CV21" i="11" s="1"/>
  <c r="CW21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<sst xmlns="http://schemas.openxmlformats.org/spreadsheetml/2006/main" count="86" uniqueCount="39">
  <si>
    <t>n</t>
  </si>
  <si>
    <t>j</t>
  </si>
  <si>
    <t>tj</t>
  </si>
  <si>
    <t>dj</t>
  </si>
  <si>
    <t>ej</t>
  </si>
  <si>
    <t xml:space="preserve">Solution vlaue </t>
  </si>
  <si>
    <t xml:space="preserve">Best solution  </t>
  </si>
  <si>
    <t>x1</t>
  </si>
  <si>
    <t>operator</t>
  </si>
  <si>
    <t>&lt;=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</si>
  <si>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</si>
  <si>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</si>
  <si>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</si>
  <si>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</si>
  <si>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</si>
  <si>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</si>
  <si>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</si>
  <si>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</si>
  <si>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</si>
  <si>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Binary xj</t>
  </si>
  <si>
    <t>true=1\false=0</t>
  </si>
  <si>
    <t>Math constraint</t>
  </si>
  <si>
    <t>cj</t>
  </si>
  <si>
    <t>A</t>
  </si>
  <si>
    <t>Agag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</si>
  <si>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</si>
  <si>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</si>
  <si>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</si>
  <si>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</si>
  <si>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</si>
  <si>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</si>
  <si>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</si>
  <si>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</si>
  <si>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</si>
  <si>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</si>
  <si>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s.t</t>
  </si>
  <si>
    <t xml:space="preserve">Min Z </t>
  </si>
  <si>
    <t>tj\dj</t>
  </si>
  <si>
    <t>Ej\(tj\dj)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</si>
</sst>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9999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0" xfId="0" applyFont="1" applyFill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3" borderId="9" xfId="0" applyFont="1" applyFill="1" applyBorder="1"/>
    <xf numFmtId="0" fontId="0" fillId="3" borderId="10" xfId="0" applyFont="1" applyFill="1" applyBorder="1"/>
    <xf numFmtId="0" fontId="0" fillId="3" borderId="11" xfId="0" applyFont="1" applyFill="1" applyBorder="1"/>
    <xf numFmtId="0" fontId="0" fillId="3" borderId="13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0" borderId="3" xfId="0" applyFill="1" applyBorder="1"/>
    <xf numFmtId="0" fontId="0" fillId="0" borderId="8" xfId="0" applyFill="1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0" borderId="15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3" borderId="0" xfId="0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0" fillId="0" borderId="16" xfId="0" applyFill="1" applyBorder="1"/>
    <xf numFmtId="0" fontId="0" fillId="0" borderId="17" xfId="0" applyFill="1" applyBorder="1"/>
    <xf numFmtId="0" fontId="0" fillId="0" borderId="3" xfId="0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7" borderId="3" xfId="0" applyFont="1" applyFill="1" applyBorder="1"/>
    <xf numFmtId="0" fontId="2" fillId="0" borderId="0" xfId="0" applyFont="1" applyFill="1" applyBorder="1"/>
    <xf numFmtId="0" fontId="0" fillId="3" borderId="18" xfId="0" applyFill="1" applyBorder="1" applyAlignment="1">
      <alignment horizontal="center"/>
    </xf>
    <xf numFmtId="0" fontId="0" fillId="0" borderId="0" xfId="0"/>
    <xf numFmtId="0" fontId="0" fillId="3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603250</xdr:colOff>
      <xdr:row>0</xdr:row>
      <xdr:rowOff>177800</xdr:rowOff>
    </xdr:from>
    <xdr:to>
      <xdr:col>8</xdr:col>
      <xdr:colOff>254000</xdr:colOff>
      <xdr:row>3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9420D41-60B5-46C7-A0CD-DF8DCBA601A6}"/>
            </a:ext>
          </a:extLst>
        </xdr:cNvPr>
        <xdr:cNvSpPr txBox="1"/>
      </xdr:nvSpPr>
      <xdr:spPr>
        <a:xfrm>
          <a:off x="4260850" y="177800"/>
          <a:ext cx="869950" cy="4762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/>
            <a:t>Input</a:t>
          </a:r>
        </a:p>
      </xdr:txBody>
    </xdr:sp>
    <xdr:clientData/>
  </xdr:twoCellAnchor>
  <xdr:twoCellAnchor>
    <xdr:from>
      <xdr:col>4</xdr:col>
      <xdr:colOff>82550</xdr:colOff>
      <xdr:row>11</xdr:row>
      <xdr:rowOff>139700</xdr:rowOff>
    </xdr:from>
    <xdr:to>
      <xdr:col>7</xdr:col>
      <xdr:colOff>546100</xdr:colOff>
      <xdr:row>16</xdr:row>
      <xdr:rowOff>19050</xdr:rowOff>
    </xdr:to>
    <xdr:sp macro="[0]!solv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3DABD2A-1638-481F-BBED-0EFEFDF8CDD8}"/>
            </a:ext>
          </a:extLst>
        </xdr:cNvPr>
        <xdr:cNvSpPr/>
      </xdr:nvSpPr>
      <xdr:spPr>
        <a:xfrm>
          <a:off x="2520950" y="2190750"/>
          <a:ext cx="2292350" cy="800100"/>
        </a:xfrm>
        <a:prstGeom prst="roundRect">
          <a:avLst/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Solve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>
    <xdr:from>
      <xdr:col>8</xdr:col>
      <xdr:colOff>425450</xdr:colOff>
      <xdr:row>11</xdr:row>
      <xdr:rowOff>165100</xdr:rowOff>
    </xdr:from>
    <xdr:to>
      <xdr:col>12</xdr:col>
      <xdr:colOff>279400</xdr:colOff>
      <xdr:row>16</xdr:row>
      <xdr:rowOff>44450</xdr:rowOff>
    </xdr:to>
    <xdr:sp macro="[0]!Clear_inpu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6F9AE6E-C5A6-4055-A118-2A37628A5AB6}"/>
            </a:ext>
          </a:extLst>
        </xdr:cNvPr>
        <xdr:cNvSpPr/>
      </xdr:nvSpPr>
      <xdr:spPr>
        <a:xfrm>
          <a:off x="5302250" y="2216150"/>
          <a:ext cx="2292350" cy="800100"/>
        </a:xfrm>
        <a:prstGeom prst="roundRect">
          <a:avLst/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Clear</a:t>
          </a:r>
          <a:r>
            <a:rPr lang="en-US" sz="2800" baseline="0"/>
            <a:t> input</a:t>
          </a:r>
          <a:endParaRPr lang="en-US" sz="1000"/>
        </a:p>
      </xdr:txBody>
    </xdr:sp>
    <xdr:clientData/>
  </xdr:twoCellAnchor>
  <xdr:twoCellAnchor>
    <xdr:from>
      <xdr:col>13</xdr:col>
      <xdr:colOff>228600</xdr:colOff>
      <xdr:row>11</xdr:row>
      <xdr:rowOff>146050</xdr:rowOff>
    </xdr:from>
    <xdr:to>
      <xdr:col>17</xdr:col>
      <xdr:colOff>82550</xdr:colOff>
      <xdr:row>16</xdr:row>
      <xdr:rowOff>25400</xdr:rowOff>
    </xdr:to>
    <xdr:sp macro="[0]!Clear_all_shee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69E2BE6-40EC-41C0-95AD-BB7A5E04B806}"/>
            </a:ext>
          </a:extLst>
        </xdr:cNvPr>
        <xdr:cNvSpPr/>
      </xdr:nvSpPr>
      <xdr:spPr>
        <a:xfrm>
          <a:off x="8153400" y="2197100"/>
          <a:ext cx="2292350" cy="800100"/>
        </a:xfrm>
        <a:prstGeom prst="roundRect">
          <a:avLst/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Clear</a:t>
          </a:r>
          <a:r>
            <a:rPr lang="en-US" sz="2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all sheets</a:t>
          </a:r>
          <a:endParaRPr lang="en-US" sz="66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1</xdr:row>
      <xdr:rowOff>0</xdr:rowOff>
    </xdr:from>
    <xdr:to>
      <xdr:col>8</xdr:col>
      <xdr:colOff>590550</xdr:colOff>
      <xdr:row>3</xdr:row>
      <xdr:rowOff>107950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37C7790-DF18-478F-B3BA-3F865276D066}"/>
            </a:ext>
          </a:extLst>
        </xdr:cNvPr>
        <xdr:cNvSpPr txBox="1"/>
      </xdr:nvSpPr>
      <xdr:spPr>
        <a:xfrm>
          <a:off x="4248150" y="184150"/>
          <a:ext cx="1219200" cy="4762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/>
            <a:t>Part B1</a:t>
          </a:r>
        </a:p>
      </xdr:txBody>
    </xdr:sp>
    <xdr:clientData/>
  </xdr:twoCellAnchor>
  <xdr:oneCellAnchor>
    <xdr:from>
      <xdr:col>1</xdr:col>
      <xdr:colOff>200025</xdr:colOff>
      <xdr:row>5</xdr:row>
      <xdr:rowOff>19050</xdr:rowOff>
    </xdr:from>
    <xdr:ext cx="1225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6D320D-2278-438F-9B4C-247001995F06}"/>
                </a:ext>
              </a:extLst>
            </xdr:cNvPr>
            <xdr:cNvSpPr txBox="1"/>
          </xdr:nvSpPr>
          <xdr:spPr>
            <a:xfrm>
              <a:off x="809625" y="939800"/>
              <a:ext cx="1225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6D320D-2278-438F-9B4C-247001995F06}"/>
                </a:ext>
              </a:extLst>
            </xdr:cNvPr>
            <xdr:cNvSpPr txBox="1"/>
          </xdr:nvSpPr>
          <xdr:spPr>
            <a:xfrm>
              <a:off x="809625" y="939800"/>
              <a:ext cx="1225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𝐴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190500</xdr:colOff>
      <xdr:row>6</xdr:row>
      <xdr:rowOff>12700</xdr:rowOff>
    </xdr:from>
    <xdr:ext cx="122533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2E3D203-2881-42C6-85BF-8F3FB4228102}"/>
                </a:ext>
              </a:extLst>
            </xdr:cNvPr>
            <xdr:cNvSpPr txBox="1"/>
          </xdr:nvSpPr>
          <xdr:spPr>
            <a:xfrm>
              <a:off x="800100" y="1117600"/>
              <a:ext cx="122533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2E3D203-2881-42C6-85BF-8F3FB4228102}"/>
                </a:ext>
              </a:extLst>
            </xdr:cNvPr>
            <xdr:cNvSpPr txBox="1"/>
          </xdr:nvSpPr>
          <xdr:spPr>
            <a:xfrm>
              <a:off x="800100" y="1117600"/>
              <a:ext cx="122533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𝐴 ̅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1</xdr:row>
      <xdr:rowOff>0</xdr:rowOff>
    </xdr:from>
    <xdr:to>
      <xdr:col>8</xdr:col>
      <xdr:colOff>590550</xdr:colOff>
      <xdr:row>3</xdr:row>
      <xdr:rowOff>107950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39774FF-BE1B-4002-A819-A99037CE48ED}"/>
            </a:ext>
          </a:extLst>
        </xdr:cNvPr>
        <xdr:cNvSpPr txBox="1"/>
      </xdr:nvSpPr>
      <xdr:spPr>
        <a:xfrm>
          <a:off x="4248150" y="184150"/>
          <a:ext cx="1219200" cy="4762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/>
            <a:t>Part B2</a:t>
          </a:r>
        </a:p>
      </xdr:txBody>
    </xdr:sp>
    <xdr:clientData/>
  </xdr:twoCellAnchor>
  <xdr:oneCellAnchor>
    <xdr:from>
      <xdr:col>1</xdr:col>
      <xdr:colOff>200025</xdr:colOff>
      <xdr:row>5</xdr:row>
      <xdr:rowOff>19050</xdr:rowOff>
    </xdr:from>
    <xdr:ext cx="1225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F13231B-DE49-480F-A645-27F88C116A6F}"/>
                </a:ext>
              </a:extLst>
            </xdr:cNvPr>
            <xdr:cNvSpPr txBox="1"/>
          </xdr:nvSpPr>
          <xdr:spPr>
            <a:xfrm>
              <a:off x="809625" y="939800"/>
              <a:ext cx="1225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F13231B-DE49-480F-A645-27F88C116A6F}"/>
                </a:ext>
              </a:extLst>
            </xdr:cNvPr>
            <xdr:cNvSpPr txBox="1"/>
          </xdr:nvSpPr>
          <xdr:spPr>
            <a:xfrm>
              <a:off x="809625" y="939800"/>
              <a:ext cx="1225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𝐴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190500</xdr:colOff>
      <xdr:row>6</xdr:row>
      <xdr:rowOff>12700</xdr:rowOff>
    </xdr:from>
    <xdr:ext cx="122533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61DB8C3-E754-4D70-A00E-51417133FD96}"/>
                </a:ext>
              </a:extLst>
            </xdr:cNvPr>
            <xdr:cNvSpPr txBox="1"/>
          </xdr:nvSpPr>
          <xdr:spPr>
            <a:xfrm>
              <a:off x="800100" y="1117600"/>
              <a:ext cx="122533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61DB8C3-E754-4D70-A00E-51417133FD96}"/>
                </a:ext>
              </a:extLst>
            </xdr:cNvPr>
            <xdr:cNvSpPr txBox="1"/>
          </xdr:nvSpPr>
          <xdr:spPr>
            <a:xfrm>
              <a:off x="800100" y="1117600"/>
              <a:ext cx="122533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𝐴 ̅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590550</xdr:colOff>
      <xdr:row>1</xdr:row>
      <xdr:rowOff>0</xdr:rowOff>
    </xdr:from>
    <xdr:to>
      <xdr:col>8</xdr:col>
      <xdr:colOff>590550</xdr:colOff>
      <xdr:row>3</xdr:row>
      <xdr:rowOff>107950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0E7C2E-6272-455C-9297-5CA08AE45F4B}"/>
            </a:ext>
          </a:extLst>
        </xdr:cNvPr>
        <xdr:cNvSpPr txBox="1"/>
      </xdr:nvSpPr>
      <xdr:spPr>
        <a:xfrm>
          <a:off x="4248150" y="184150"/>
          <a:ext cx="1219200" cy="4762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/>
            <a:t>Part B3</a:t>
          </a:r>
        </a:p>
      </xdr:txBody>
    </xdr:sp>
    <xdr:clientData/>
  </xdr:twoCellAnchor>
  <xdr:oneCellAnchor>
    <xdr:from>
      <xdr:col>1</xdr:col>
      <xdr:colOff>200025</xdr:colOff>
      <xdr:row>5</xdr:row>
      <xdr:rowOff>19050</xdr:rowOff>
    </xdr:from>
    <xdr:ext cx="1225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5C0D9D3-F642-44C9-AD80-4CA1D16A52C5}"/>
                </a:ext>
              </a:extLst>
            </xdr:cNvPr>
            <xdr:cNvSpPr txBox="1"/>
          </xdr:nvSpPr>
          <xdr:spPr>
            <a:xfrm>
              <a:off x="809625" y="939800"/>
              <a:ext cx="1225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5C0D9D3-F642-44C9-AD80-4CA1D16A52C5}"/>
                </a:ext>
              </a:extLst>
            </xdr:cNvPr>
            <xdr:cNvSpPr txBox="1"/>
          </xdr:nvSpPr>
          <xdr:spPr>
            <a:xfrm>
              <a:off x="809625" y="939800"/>
              <a:ext cx="1225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𝐴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190500</xdr:colOff>
      <xdr:row>6</xdr:row>
      <xdr:rowOff>12700</xdr:rowOff>
    </xdr:from>
    <xdr:ext cx="122533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ACB5853-8BB4-4085-914B-A2E3C02CED8B}"/>
                </a:ext>
              </a:extLst>
            </xdr:cNvPr>
            <xdr:cNvSpPr txBox="1"/>
          </xdr:nvSpPr>
          <xdr:spPr>
            <a:xfrm>
              <a:off x="800100" y="1117600"/>
              <a:ext cx="122533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DACB5853-8BB4-4085-914B-A2E3C02CED8B}"/>
                </a:ext>
              </a:extLst>
            </xdr:cNvPr>
            <xdr:cNvSpPr txBox="1"/>
          </xdr:nvSpPr>
          <xdr:spPr>
            <a:xfrm>
              <a:off x="800100" y="1117600"/>
              <a:ext cx="122533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𝐴 ̅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200025</xdr:colOff>
      <xdr:row>12</xdr:row>
      <xdr:rowOff>19050</xdr:rowOff>
    </xdr:from>
    <xdr:ext cx="1225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A6A3FA8-057B-4814-8409-234928B46C7E}"/>
                </a:ext>
              </a:extLst>
            </xdr:cNvPr>
            <xdr:cNvSpPr txBox="1"/>
          </xdr:nvSpPr>
          <xdr:spPr>
            <a:xfrm>
              <a:off x="809625" y="939800"/>
              <a:ext cx="1225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A6A3FA8-057B-4814-8409-234928B46C7E}"/>
                </a:ext>
              </a:extLst>
            </xdr:cNvPr>
            <xdr:cNvSpPr txBox="1"/>
          </xdr:nvSpPr>
          <xdr:spPr>
            <a:xfrm>
              <a:off x="809625" y="939800"/>
              <a:ext cx="1225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𝐴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190500</xdr:colOff>
      <xdr:row>13</xdr:row>
      <xdr:rowOff>12700</xdr:rowOff>
    </xdr:from>
    <xdr:ext cx="122533" cy="1762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56F22A-A879-4365-9DF6-4A0622D52F93}"/>
                </a:ext>
              </a:extLst>
            </xdr:cNvPr>
            <xdr:cNvSpPr txBox="1"/>
          </xdr:nvSpPr>
          <xdr:spPr>
            <a:xfrm>
              <a:off x="800100" y="1117600"/>
              <a:ext cx="122533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̅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acc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</m:acc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56F22A-A879-4365-9DF6-4A0622D52F93}"/>
                </a:ext>
              </a:extLst>
            </xdr:cNvPr>
            <xdr:cNvSpPr txBox="1"/>
          </xdr:nvSpPr>
          <xdr:spPr>
            <a:xfrm>
              <a:off x="800100" y="1117600"/>
              <a:ext cx="122533" cy="1762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𝐴 ̅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124B2-5D90-4310-B54C-0D3B3408213E}">
  <sheetPr codeName="Sheet1"/>
  <dimension ref="B3:CX9"/>
  <sheetViews>
    <sheetView tabSelected="1" workbookViewId="0">
      <selection activeCell="C14" sqref="C14"/>
    </sheetView>
  </sheetViews>
  <sheetFormatPr defaultColWidth="8.7265625" defaultRowHeight="14.5" x14ac:dyDescent="0.35"/>
  <cols>
    <col min="1" max="16384" width="8.7265625" style="1"/>
  </cols>
  <sheetData>
    <row r="3" spans="2:102" ht="15" thickBot="1" x14ac:dyDescent="0.4"/>
    <row r="4" spans="2:102" ht="15" thickBot="1" x14ac:dyDescent="0.4">
      <c r="B4" s="2" t="s">
        <v>0</v>
      </c>
      <c r="C4" s="3"/>
    </row>
    <row r="5" spans="2:102" ht="15" thickBot="1" x14ac:dyDescent="0.4"/>
    <row r="6" spans="2:102" x14ac:dyDescent="0.35">
      <c r="B6" s="62" t="s">
        <v>1</v>
      </c>
      <c r="C6" s="63">
        <v>1</v>
      </c>
      <c r="D6" s="63">
        <v>2</v>
      </c>
      <c r="E6" s="63">
        <v>3</v>
      </c>
      <c r="F6" s="63">
        <v>4</v>
      </c>
      <c r="G6" s="63">
        <v>5</v>
      </c>
      <c r="H6" s="63">
        <v>6</v>
      </c>
      <c r="I6" s="63">
        <v>7</v>
      </c>
      <c r="J6" s="63">
        <v>8</v>
      </c>
      <c r="K6" s="63">
        <v>9</v>
      </c>
      <c r="L6" s="63">
        <v>10</v>
      </c>
      <c r="M6" s="63">
        <v>11</v>
      </c>
      <c r="N6" s="63">
        <v>12</v>
      </c>
      <c r="O6" s="63">
        <v>13</v>
      </c>
      <c r="P6" s="63">
        <v>14</v>
      </c>
      <c r="Q6" s="63">
        <v>15</v>
      </c>
      <c r="R6" s="63">
        <v>16</v>
      </c>
      <c r="S6" s="63">
        <v>17</v>
      </c>
      <c r="T6" s="63">
        <v>18</v>
      </c>
      <c r="U6" s="63">
        <v>19</v>
      </c>
      <c r="V6" s="63">
        <v>20</v>
      </c>
      <c r="W6" s="63">
        <v>21</v>
      </c>
      <c r="X6" s="63">
        <v>22</v>
      </c>
      <c r="Y6" s="63">
        <v>23</v>
      </c>
      <c r="Z6" s="63">
        <v>24</v>
      </c>
      <c r="AA6" s="63">
        <v>25</v>
      </c>
      <c r="AB6" s="63">
        <v>26</v>
      </c>
      <c r="AC6" s="63">
        <v>27</v>
      </c>
      <c r="AD6" s="63">
        <v>28</v>
      </c>
      <c r="AE6" s="63">
        <v>29</v>
      </c>
      <c r="AF6" s="63">
        <v>30</v>
      </c>
      <c r="AG6" s="63">
        <v>31</v>
      </c>
      <c r="AH6" s="63">
        <v>32</v>
      </c>
      <c r="AI6" s="63">
        <v>33</v>
      </c>
      <c r="AJ6" s="63">
        <v>34</v>
      </c>
      <c r="AK6" s="63">
        <v>35</v>
      </c>
      <c r="AL6" s="63">
        <v>36</v>
      </c>
      <c r="AM6" s="63">
        <v>37</v>
      </c>
      <c r="AN6" s="63">
        <v>38</v>
      </c>
      <c r="AO6" s="63">
        <v>39</v>
      </c>
      <c r="AP6" s="63">
        <v>40</v>
      </c>
      <c r="AQ6" s="63">
        <v>41</v>
      </c>
      <c r="AR6" s="63">
        <v>42</v>
      </c>
      <c r="AS6" s="63">
        <v>43</v>
      </c>
      <c r="AT6" s="63">
        <v>44</v>
      </c>
      <c r="AU6" s="63">
        <v>45</v>
      </c>
      <c r="AV6" s="63">
        <v>46</v>
      </c>
      <c r="AW6" s="63">
        <v>47</v>
      </c>
      <c r="AX6" s="63">
        <v>48</v>
      </c>
      <c r="AY6" s="63">
        <v>49</v>
      </c>
      <c r="AZ6" s="63">
        <v>50</v>
      </c>
      <c r="BA6" s="63">
        <v>51</v>
      </c>
      <c r="BB6" s="63">
        <v>52</v>
      </c>
      <c r="BC6" s="63">
        <v>53</v>
      </c>
      <c r="BD6" s="63">
        <v>54</v>
      </c>
      <c r="BE6" s="63">
        <v>55</v>
      </c>
      <c r="BF6" s="63">
        <v>56</v>
      </c>
      <c r="BG6" s="63">
        <v>57</v>
      </c>
      <c r="BH6" s="63">
        <v>58</v>
      </c>
      <c r="BI6" s="63">
        <v>59</v>
      </c>
      <c r="BJ6" s="63">
        <v>60</v>
      </c>
      <c r="BK6" s="63">
        <v>61</v>
      </c>
      <c r="BL6" s="63">
        <v>62</v>
      </c>
      <c r="BM6" s="63">
        <v>63</v>
      </c>
      <c r="BN6" s="63">
        <v>64</v>
      </c>
      <c r="BO6" s="63">
        <v>65</v>
      </c>
      <c r="BP6" s="63">
        <v>66</v>
      </c>
      <c r="BQ6" s="63">
        <v>67</v>
      </c>
      <c r="BR6" s="63">
        <v>68</v>
      </c>
      <c r="BS6" s="63">
        <v>69</v>
      </c>
      <c r="BT6" s="63">
        <v>70</v>
      </c>
      <c r="BU6" s="63">
        <v>71</v>
      </c>
      <c r="BV6" s="63">
        <v>72</v>
      </c>
      <c r="BW6" s="63">
        <v>73</v>
      </c>
      <c r="BX6" s="63">
        <v>74</v>
      </c>
      <c r="BY6" s="63">
        <v>75</v>
      </c>
      <c r="BZ6" s="63">
        <v>76</v>
      </c>
      <c r="CA6" s="63">
        <v>77</v>
      </c>
      <c r="CB6" s="63">
        <v>78</v>
      </c>
      <c r="CC6" s="63">
        <v>79</v>
      </c>
      <c r="CD6" s="63">
        <v>80</v>
      </c>
      <c r="CE6" s="63">
        <v>81</v>
      </c>
      <c r="CF6" s="63">
        <v>82</v>
      </c>
      <c r="CG6" s="63">
        <v>83</v>
      </c>
      <c r="CH6" s="63">
        <v>84</v>
      </c>
      <c r="CI6" s="63">
        <v>85</v>
      </c>
      <c r="CJ6" s="63">
        <v>86</v>
      </c>
      <c r="CK6" s="63">
        <v>87</v>
      </c>
      <c r="CL6" s="63">
        <v>88</v>
      </c>
      <c r="CM6" s="63">
        <v>89</v>
      </c>
      <c r="CN6" s="63">
        <v>90</v>
      </c>
      <c r="CO6" s="63">
        <v>91</v>
      </c>
      <c r="CP6" s="63">
        <v>92</v>
      </c>
      <c r="CQ6" s="63">
        <v>93</v>
      </c>
      <c r="CR6" s="63">
        <v>94</v>
      </c>
      <c r="CS6" s="63">
        <v>95</v>
      </c>
      <c r="CT6" s="63">
        <v>96</v>
      </c>
      <c r="CU6" s="63">
        <v>97</v>
      </c>
      <c r="CV6" s="63">
        <v>98</v>
      </c>
      <c r="CW6" s="63">
        <v>99</v>
      </c>
      <c r="CX6" s="64">
        <v>100</v>
      </c>
    </row>
    <row r="7" spans="2:102" x14ac:dyDescent="0.35">
      <c r="B7" s="65" t="s">
        <v>2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66"/>
      <c r="CS7" s="66"/>
      <c r="CT7" s="66"/>
      <c r="CU7" s="66"/>
      <c r="CV7" s="66"/>
      <c r="CW7" s="66"/>
      <c r="CX7" s="67"/>
    </row>
    <row r="8" spans="2:102" x14ac:dyDescent="0.35">
      <c r="B8" s="65" t="s">
        <v>3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66"/>
      <c r="CW8" s="66"/>
      <c r="CX8" s="67"/>
    </row>
    <row r="9" spans="2:102" ht="15" thickBot="1" x14ac:dyDescent="0.4">
      <c r="B9" s="68" t="s">
        <v>4</v>
      </c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BN9" s="69"/>
      <c r="BO9" s="69"/>
      <c r="BP9" s="69"/>
      <c r="BQ9" s="69"/>
      <c r="BR9" s="69"/>
      <c r="BS9" s="69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7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656DE-2081-461B-9610-681308C3217C}">
  <sheetPr codeName="Sheet2"/>
  <dimension ref="B5:CX10"/>
  <sheetViews>
    <sheetView zoomScaleNormal="100" workbookViewId="0">
      <selection activeCell="D10" sqref="D10"/>
    </sheetView>
  </sheetViews>
  <sheetFormatPr defaultColWidth="8.7265625" defaultRowHeight="14.5" x14ac:dyDescent="0.35"/>
  <cols>
    <col min="1" max="16384" width="8.7265625" style="4"/>
  </cols>
  <sheetData>
    <row r="5" spans="2:102" ht="15" thickBot="1" x14ac:dyDescent="0.4"/>
    <row r="6" spans="2:102" x14ac:dyDescent="0.3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7"/>
    </row>
    <row r="7" spans="2:102" ht="15" thickBot="1" x14ac:dyDescent="0.4"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10"/>
    </row>
    <row r="9" spans="2:102" ht="15" thickBot="1" x14ac:dyDescent="0.4"/>
    <row r="10" spans="2:102" ht="15" thickBot="1" x14ac:dyDescent="0.4">
      <c r="B10" s="46" t="s">
        <v>5</v>
      </c>
      <c r="C10" s="47"/>
      <c r="D10" s="11"/>
    </row>
  </sheetData>
  <mergeCells count="1">
    <mergeCell ref="B10:C1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34264-387F-4E0E-94D5-FC30774EE674}">
  <sheetPr codeName="Sheet3"/>
  <dimension ref="B5:CX10"/>
  <sheetViews>
    <sheetView workbookViewId="0">
      <selection activeCell="D10" sqref="D10"/>
    </sheetView>
  </sheetViews>
  <sheetFormatPr defaultColWidth="8.7265625" defaultRowHeight="14.5" x14ac:dyDescent="0.35"/>
  <cols>
    <col min="1" max="16384" width="8.7265625" style="4"/>
  </cols>
  <sheetData>
    <row r="5" spans="2:102" ht="15" thickBot="1" x14ac:dyDescent="0.4"/>
    <row r="6" spans="2:102" x14ac:dyDescent="0.3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7"/>
    </row>
    <row r="7" spans="2:102" ht="15" thickBot="1" x14ac:dyDescent="0.4"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10"/>
    </row>
    <row r="9" spans="2:102" ht="15" thickBot="1" x14ac:dyDescent="0.4"/>
    <row r="10" spans="2:102" ht="15" thickBot="1" x14ac:dyDescent="0.4">
      <c r="B10" s="46" t="s">
        <v>5</v>
      </c>
      <c r="C10" s="47"/>
      <c r="D10" s="11"/>
    </row>
  </sheetData>
  <mergeCells count="1">
    <mergeCell ref="B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81103-32FB-48D5-AF02-70FAABC3FD08}">
  <sheetPr codeName="Sheet4"/>
  <dimension ref="B5:CX20"/>
  <sheetViews>
    <sheetView workbookViewId="0">
      <selection activeCell="J20" sqref="J20"/>
    </sheetView>
  </sheetViews>
  <sheetFormatPr defaultColWidth="8.7265625" defaultRowHeight="14.5" x14ac:dyDescent="0.35"/>
  <cols>
    <col min="1" max="16384" width="8.7265625" style="4"/>
  </cols>
  <sheetData>
    <row r="5" spans="2:102" ht="15" thickBot="1" x14ac:dyDescent="0.4"/>
    <row r="6" spans="2:102" ht="15" thickBot="1" x14ac:dyDescent="0.4">
      <c r="B6" s="5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31"/>
      <c r="BB6" s="30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</row>
    <row r="7" spans="2:102" ht="15" thickBot="1" x14ac:dyDescent="0.4">
      <c r="B7" s="8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3"/>
      <c r="BB7" s="30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</row>
    <row r="9" spans="2:102" ht="15" thickBot="1" x14ac:dyDescent="0.4"/>
    <row r="10" spans="2:102" ht="15" thickBot="1" x14ac:dyDescent="0.4">
      <c r="B10" s="46" t="s">
        <v>5</v>
      </c>
      <c r="C10" s="48"/>
      <c r="D10" s="11"/>
    </row>
    <row r="12" spans="2:102" ht="15" thickBot="1" x14ac:dyDescent="0.4"/>
    <row r="13" spans="2:102" x14ac:dyDescent="0.35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7"/>
    </row>
    <row r="14" spans="2:102" ht="15" thickBot="1" x14ac:dyDescent="0.4">
      <c r="B14" s="8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10"/>
    </row>
    <row r="16" spans="2:102" ht="15" thickBot="1" x14ac:dyDescent="0.4"/>
    <row r="17" spans="2:10" ht="15" thickBot="1" x14ac:dyDescent="0.4">
      <c r="B17" s="46" t="s">
        <v>5</v>
      </c>
      <c r="C17" s="48"/>
      <c r="D17" s="11"/>
    </row>
    <row r="19" spans="2:10" ht="15" thickBot="1" x14ac:dyDescent="0.4"/>
    <row r="20" spans="2:10" ht="15" thickBot="1" x14ac:dyDescent="0.4">
      <c r="H20" s="46" t="s">
        <v>6</v>
      </c>
      <c r="I20" s="48"/>
      <c r="J20" s="11"/>
    </row>
  </sheetData>
  <mergeCells count="3">
    <mergeCell ref="B17:C17"/>
    <mergeCell ref="B10:C10"/>
    <mergeCell ref="H20:I2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2C58B-C17C-4D3A-B75E-0B0428CE184B}">
  <sheetPr codeName="Sheet5"/>
  <dimension ref="A1:CZ43"/>
  <sheetViews>
    <sheetView workbookViewId="0">
      <selection activeCell="D14" sqref="D14"/>
    </sheetView>
  </sheetViews>
  <sheetFormatPr defaultColWidth="8.7265625" defaultRowHeight="14.5" x14ac:dyDescent="0.35"/>
  <cols>
    <col min="1" max="1" width="16.81640625" style="12" customWidth="1"/>
    <col min="2" max="10" width="8.7265625" style="12"/>
    <col min="11" max="11" width="9.6328125" style="12" customWidth="1"/>
    <col min="12" max="12" width="8.7265625" style="12"/>
    <col min="13" max="13" width="9.1796875" style="12" customWidth="1"/>
    <col min="14" max="20" width="8.7265625" style="12"/>
    <col min="21" max="21" width="13.26953125" style="12" bestFit="1" customWidth="1"/>
    <col min="22" max="16384" width="8.7265625" style="12"/>
  </cols>
  <sheetData>
    <row r="1" spans="1:104" x14ac:dyDescent="0.35">
      <c r="A1" s="14" t="s">
        <v>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6"/>
    </row>
    <row r="2" spans="1:104" x14ac:dyDescent="0.35">
      <c r="A2" s="17" t="s">
        <v>2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9"/>
    </row>
    <row r="3" spans="1:104" x14ac:dyDescent="0.35">
      <c r="A3" s="17" t="s">
        <v>3</v>
      </c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9"/>
    </row>
    <row r="4" spans="1:104" ht="15" thickBot="1" x14ac:dyDescent="0.4">
      <c r="A4" s="20" t="s">
        <v>4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2"/>
    </row>
    <row r="5" spans="1:104" x14ac:dyDescent="0.35">
      <c r="A5" s="41" t="s">
        <v>19</v>
      </c>
      <c r="B5" s="25" t="s">
        <v>7</v>
      </c>
      <c r="C5" s="25" t="s">
        <v>10</v>
      </c>
      <c r="D5" s="25" t="s">
        <v>11</v>
      </c>
      <c r="E5" s="25" t="s">
        <v>12</v>
      </c>
      <c r="F5" s="25" t="s">
        <v>13</v>
      </c>
      <c r="G5" s="25" t="s">
        <v>14</v>
      </c>
      <c r="H5" s="25" t="s">
        <v>15</v>
      </c>
      <c r="I5" s="25" t="s">
        <v>16</v>
      </c>
      <c r="J5" s="25" t="s">
        <v>17</v>
      </c>
      <c r="K5" s="25" t="s">
        <v>18</v>
      </c>
      <c r="L5" s="25" t="s">
        <v>25</v>
      </c>
      <c r="M5" s="25" t="s">
        <v>26</v>
      </c>
      <c r="N5" s="25" t="s">
        <v>27</v>
      </c>
      <c r="O5" s="25" t="s">
        <v>28</v>
      </c>
      <c r="P5" s="25" t="s">
        <v>29</v>
      </c>
      <c r="Q5" s="25" t="s">
        <v>30</v>
      </c>
      <c r="R5" s="25" t="s">
        <v>31</v>
      </c>
      <c r="S5" s="25" t="s">
        <v>32</v>
      </c>
      <c r="T5" s="25" t="s">
        <v>33</v>
      </c>
      <c r="U5" s="25" t="s">
        <v>34</v>
      </c>
    </row>
    <row r="6" spans="1:104" x14ac:dyDescent="0.35">
      <c r="A6" s="41" t="s">
        <v>20</v>
      </c>
      <c r="B6" s="18">
        <v>1</v>
      </c>
      <c r="C6" s="18">
        <v>0</v>
      </c>
      <c r="D6" s="18">
        <v>1</v>
      </c>
      <c r="E6" s="18">
        <v>0</v>
      </c>
      <c r="F6" s="18">
        <v>0</v>
      </c>
      <c r="G6" s="18">
        <v>0</v>
      </c>
      <c r="H6" s="18">
        <v>0</v>
      </c>
      <c r="I6" s="18">
        <v>1</v>
      </c>
      <c r="J6" s="18">
        <v>1</v>
      </c>
      <c r="K6" s="18">
        <v>1</v>
      </c>
      <c r="L6" s="18">
        <v>1</v>
      </c>
      <c r="M6" s="18">
        <v>0</v>
      </c>
      <c r="N6" s="18">
        <v>0</v>
      </c>
      <c r="O6" s="18">
        <v>0</v>
      </c>
      <c r="P6" s="18">
        <v>0</v>
      </c>
      <c r="Q6" s="18">
        <v>0</v>
      </c>
      <c r="R6" s="18">
        <v>0</v>
      </c>
      <c r="S6" s="18">
        <v>0</v>
      </c>
      <c r="T6" s="18">
        <v>0</v>
      </c>
      <c r="U6" s="18">
        <v>0</v>
      </c>
      <c r="V6" s="13"/>
      <c r="W6" s="13"/>
      <c r="X6" s="13"/>
      <c r="Y6" s="13"/>
      <c r="Z6" s="13"/>
    </row>
    <row r="7" spans="1:104" ht="15" thickBot="1" x14ac:dyDescent="0.4"/>
    <row r="8" spans="1:104" ht="15" thickBot="1" x14ac:dyDescent="0.4">
      <c r="A8" s="23" t="s">
        <v>0</v>
      </c>
      <c r="B8" s="24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</row>
    <row r="9" spans="1:104" x14ac:dyDescent="0.35"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</row>
    <row r="19" spans="1:23" x14ac:dyDescent="0.35">
      <c r="A19" s="35" t="s">
        <v>36</v>
      </c>
      <c r="B19" s="38" cm="1">
        <f t="array" ref="B19">SUMPRODUCT(B4:U4, 1-$B$6:$U$6)</f>
        <v>0</v>
      </c>
      <c r="O19" s="43"/>
    </row>
    <row r="21" spans="1:23" x14ac:dyDescent="0.35">
      <c r="A21" s="35" t="s">
        <v>35</v>
      </c>
    </row>
    <row r="23" spans="1:23" x14ac:dyDescent="0.35">
      <c r="A23" s="35">
        <v>1</v>
      </c>
      <c r="B23" s="35">
        <v>2</v>
      </c>
      <c r="C23" s="35">
        <v>3</v>
      </c>
      <c r="D23" s="35">
        <v>4</v>
      </c>
      <c r="E23" s="35">
        <v>5</v>
      </c>
      <c r="F23" s="35">
        <v>6</v>
      </c>
      <c r="G23" s="35">
        <v>7</v>
      </c>
      <c r="H23" s="35">
        <v>8</v>
      </c>
      <c r="I23" s="35">
        <v>9</v>
      </c>
      <c r="J23" s="35">
        <v>10</v>
      </c>
      <c r="K23" s="35">
        <v>11</v>
      </c>
      <c r="L23" s="35">
        <v>12</v>
      </c>
      <c r="M23" s="35">
        <v>13</v>
      </c>
      <c r="N23" s="35">
        <v>14</v>
      </c>
      <c r="O23" s="35">
        <v>15</v>
      </c>
      <c r="P23" s="35">
        <v>16</v>
      </c>
      <c r="Q23" s="35">
        <v>17</v>
      </c>
      <c r="R23" s="35">
        <v>18</v>
      </c>
      <c r="S23" s="35">
        <v>19</v>
      </c>
      <c r="T23" s="35">
        <v>20</v>
      </c>
      <c r="U23" s="42" t="s">
        <v>21</v>
      </c>
      <c r="V23" s="35" t="s">
        <v>8</v>
      </c>
      <c r="W23" s="35" t="s">
        <v>3</v>
      </c>
    </row>
    <row r="24" spans="1:23" x14ac:dyDescent="0.35">
      <c r="A24" s="25">
        <f>$B$2</f>
        <v>0</v>
      </c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>
        <f>SUMPRODUCT(A24:T24,$B$6:$U$6)</f>
        <v>0</v>
      </c>
      <c r="V24" s="39" t="s">
        <v>9</v>
      </c>
      <c r="W24" s="25">
        <f>B3</f>
        <v>0</v>
      </c>
    </row>
    <row r="25" spans="1:23" x14ac:dyDescent="0.35">
      <c r="A25" s="25">
        <f t="shared" ref="A25:A43" si="0">$B$2</f>
        <v>0</v>
      </c>
      <c r="B25" s="25">
        <f>$C$2</f>
        <v>0</v>
      </c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>
        <f>SUMPRODUCT(A25:T25,$B$6:$U$6)</f>
        <v>0</v>
      </c>
      <c r="V25" s="39" t="s">
        <v>9</v>
      </c>
      <c r="W25" s="26">
        <f>IF(C3=0, W24, C3)</f>
        <v>0</v>
      </c>
    </row>
    <row r="26" spans="1:23" x14ac:dyDescent="0.35">
      <c r="A26" s="25">
        <f t="shared" si="0"/>
        <v>0</v>
      </c>
      <c r="B26" s="25">
        <f t="shared" ref="B26:B43" si="1">$C$2</f>
        <v>0</v>
      </c>
      <c r="C26" s="25">
        <f>$D$2</f>
        <v>0</v>
      </c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>
        <f>SUMPRODUCT(A26:T26,$B$6:$U$6)</f>
        <v>0</v>
      </c>
      <c r="V26" s="39" t="s">
        <v>9</v>
      </c>
      <c r="W26" s="26">
        <f>IF(D3=0, W25, D3)</f>
        <v>0</v>
      </c>
    </row>
    <row r="27" spans="1:23" x14ac:dyDescent="0.35">
      <c r="A27" s="25">
        <f t="shared" si="0"/>
        <v>0</v>
      </c>
      <c r="B27" s="25">
        <f t="shared" si="1"/>
        <v>0</v>
      </c>
      <c r="C27" s="25">
        <f t="shared" ref="C27:C43" si="2">$D$2</f>
        <v>0</v>
      </c>
      <c r="D27" s="25">
        <f>$E$2</f>
        <v>0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>
        <f t="shared" ref="U27:U42" si="3">SUMPRODUCT(A27:T27,$B$6:$U$6)</f>
        <v>0</v>
      </c>
      <c r="V27" s="39" t="s">
        <v>9</v>
      </c>
      <c r="W27" s="26">
        <f>IF(E3=0, W26, E3)</f>
        <v>0</v>
      </c>
    </row>
    <row r="28" spans="1:23" x14ac:dyDescent="0.35">
      <c r="A28" s="25">
        <f t="shared" si="0"/>
        <v>0</v>
      </c>
      <c r="B28" s="25">
        <f t="shared" si="1"/>
        <v>0</v>
      </c>
      <c r="C28" s="25">
        <f t="shared" si="2"/>
        <v>0</v>
      </c>
      <c r="D28" s="25">
        <f t="shared" ref="D28:D43" si="4">$E$2</f>
        <v>0</v>
      </c>
      <c r="E28" s="25">
        <f t="shared" ref="E28:E43" si="5">$F$2</f>
        <v>0</v>
      </c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>
        <f t="shared" si="3"/>
        <v>0</v>
      </c>
      <c r="V28" s="39" t="s">
        <v>9</v>
      </c>
      <c r="W28" s="26">
        <f>IF(F3=0, W27, F3)</f>
        <v>0</v>
      </c>
    </row>
    <row r="29" spans="1:23" x14ac:dyDescent="0.35">
      <c r="A29" s="25">
        <f t="shared" si="0"/>
        <v>0</v>
      </c>
      <c r="B29" s="25">
        <f t="shared" si="1"/>
        <v>0</v>
      </c>
      <c r="C29" s="25">
        <f t="shared" si="2"/>
        <v>0</v>
      </c>
      <c r="D29" s="25">
        <f t="shared" si="4"/>
        <v>0</v>
      </c>
      <c r="E29" s="25">
        <f t="shared" si="5"/>
        <v>0</v>
      </c>
      <c r="F29" s="25">
        <f t="shared" ref="F29:F43" si="6">$G$2</f>
        <v>0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>
        <f t="shared" si="3"/>
        <v>0</v>
      </c>
      <c r="V29" s="39" t="s">
        <v>9</v>
      </c>
      <c r="W29" s="26">
        <f>IF(G3=0, W28, G3)</f>
        <v>0</v>
      </c>
    </row>
    <row r="30" spans="1:23" x14ac:dyDescent="0.35">
      <c r="A30" s="25">
        <f t="shared" si="0"/>
        <v>0</v>
      </c>
      <c r="B30" s="25">
        <f t="shared" si="1"/>
        <v>0</v>
      </c>
      <c r="C30" s="25">
        <f t="shared" si="2"/>
        <v>0</v>
      </c>
      <c r="D30" s="25">
        <f t="shared" si="4"/>
        <v>0</v>
      </c>
      <c r="E30" s="25">
        <f t="shared" si="5"/>
        <v>0</v>
      </c>
      <c r="F30" s="25">
        <f t="shared" si="6"/>
        <v>0</v>
      </c>
      <c r="G30" s="25">
        <f t="shared" ref="G30:G43" si="7">$H$2</f>
        <v>0</v>
      </c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>
        <f t="shared" si="3"/>
        <v>0</v>
      </c>
      <c r="V30" s="39" t="s">
        <v>9</v>
      </c>
      <c r="W30" s="26">
        <f>IF(H3=0, W29, H3)</f>
        <v>0</v>
      </c>
    </row>
    <row r="31" spans="1:23" x14ac:dyDescent="0.35">
      <c r="A31" s="25">
        <f t="shared" si="0"/>
        <v>0</v>
      </c>
      <c r="B31" s="25">
        <f t="shared" si="1"/>
        <v>0</v>
      </c>
      <c r="C31" s="25">
        <f t="shared" si="2"/>
        <v>0</v>
      </c>
      <c r="D31" s="25">
        <f t="shared" si="4"/>
        <v>0</v>
      </c>
      <c r="E31" s="25">
        <f t="shared" si="5"/>
        <v>0</v>
      </c>
      <c r="F31" s="25">
        <f t="shared" si="6"/>
        <v>0</v>
      </c>
      <c r="G31" s="25">
        <f t="shared" si="7"/>
        <v>0</v>
      </c>
      <c r="H31" s="25">
        <f t="shared" ref="H31:H43" si="8">$I$2</f>
        <v>0</v>
      </c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>
        <f t="shared" si="3"/>
        <v>0</v>
      </c>
      <c r="V31" s="39" t="s">
        <v>9</v>
      </c>
      <c r="W31" s="26">
        <f>IF(I3=0, W30, I3)</f>
        <v>0</v>
      </c>
    </row>
    <row r="32" spans="1:23" x14ac:dyDescent="0.35">
      <c r="A32" s="25">
        <f t="shared" si="0"/>
        <v>0</v>
      </c>
      <c r="B32" s="25">
        <f t="shared" si="1"/>
        <v>0</v>
      </c>
      <c r="C32" s="25">
        <f t="shared" si="2"/>
        <v>0</v>
      </c>
      <c r="D32" s="25">
        <f t="shared" si="4"/>
        <v>0</v>
      </c>
      <c r="E32" s="25">
        <f t="shared" si="5"/>
        <v>0</v>
      </c>
      <c r="F32" s="25">
        <f t="shared" si="6"/>
        <v>0</v>
      </c>
      <c r="G32" s="25">
        <f t="shared" si="7"/>
        <v>0</v>
      </c>
      <c r="H32" s="25">
        <f t="shared" si="8"/>
        <v>0</v>
      </c>
      <c r="I32" s="25">
        <f t="shared" ref="I32:I43" si="9">$J$2</f>
        <v>0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>
        <f t="shared" si="3"/>
        <v>0</v>
      </c>
      <c r="V32" s="39" t="s">
        <v>9</v>
      </c>
      <c r="W32" s="26">
        <f>IF(J3=0, W31, J3)</f>
        <v>0</v>
      </c>
    </row>
    <row r="33" spans="1:23" x14ac:dyDescent="0.35">
      <c r="A33" s="36">
        <f t="shared" si="0"/>
        <v>0</v>
      </c>
      <c r="B33" s="36">
        <f t="shared" si="1"/>
        <v>0</v>
      </c>
      <c r="C33" s="36">
        <f t="shared" si="2"/>
        <v>0</v>
      </c>
      <c r="D33" s="36">
        <f t="shared" si="4"/>
        <v>0</v>
      </c>
      <c r="E33" s="36">
        <f t="shared" si="5"/>
        <v>0</v>
      </c>
      <c r="F33" s="36">
        <f t="shared" si="6"/>
        <v>0</v>
      </c>
      <c r="G33" s="36">
        <f t="shared" si="7"/>
        <v>0</v>
      </c>
      <c r="H33" s="36">
        <f t="shared" si="8"/>
        <v>0</v>
      </c>
      <c r="I33" s="36">
        <f t="shared" si="9"/>
        <v>0</v>
      </c>
      <c r="J33" s="36">
        <f t="shared" ref="J33:J43" si="10">$K$2</f>
        <v>0</v>
      </c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25">
        <f t="shared" si="3"/>
        <v>0</v>
      </c>
      <c r="V33" s="40" t="s">
        <v>9</v>
      </c>
      <c r="W33" s="37">
        <f>IF(K3=0, W32, K3)</f>
        <v>0</v>
      </c>
    </row>
    <row r="34" spans="1:23" x14ac:dyDescent="0.35">
      <c r="A34" s="36">
        <f t="shared" si="0"/>
        <v>0</v>
      </c>
      <c r="B34" s="25">
        <f>$C$2</f>
        <v>0</v>
      </c>
      <c r="C34" s="25">
        <f>$D$2</f>
        <v>0</v>
      </c>
      <c r="D34" s="25">
        <f>$E$2</f>
        <v>0</v>
      </c>
      <c r="E34" s="25">
        <f t="shared" si="5"/>
        <v>0</v>
      </c>
      <c r="F34" s="25">
        <f t="shared" si="6"/>
        <v>0</v>
      </c>
      <c r="G34" s="25">
        <f t="shared" si="7"/>
        <v>0</v>
      </c>
      <c r="H34" s="25">
        <f t="shared" si="8"/>
        <v>0</v>
      </c>
      <c r="I34" s="25">
        <f t="shared" si="9"/>
        <v>0</v>
      </c>
      <c r="J34" s="36">
        <f t="shared" si="10"/>
        <v>0</v>
      </c>
      <c r="K34" s="36">
        <f t="shared" ref="K34:K43" si="11">$L$2</f>
        <v>0</v>
      </c>
      <c r="L34" s="25"/>
      <c r="M34" s="25"/>
      <c r="N34" s="25"/>
      <c r="O34" s="25"/>
      <c r="P34" s="25"/>
      <c r="Q34" s="25"/>
      <c r="R34" s="25"/>
      <c r="S34" s="25"/>
      <c r="T34" s="25"/>
      <c r="U34" s="25">
        <f t="shared" si="3"/>
        <v>0</v>
      </c>
      <c r="V34" s="39" t="s">
        <v>9</v>
      </c>
      <c r="W34" s="25">
        <f>IF(L3=0, W33, L3)</f>
        <v>0</v>
      </c>
    </row>
    <row r="35" spans="1:23" x14ac:dyDescent="0.35">
      <c r="A35" s="36">
        <f t="shared" si="0"/>
        <v>0</v>
      </c>
      <c r="B35" s="25">
        <f t="shared" si="1"/>
        <v>0</v>
      </c>
      <c r="C35" s="25">
        <f t="shared" si="2"/>
        <v>0</v>
      </c>
      <c r="D35" s="25">
        <f t="shared" si="4"/>
        <v>0</v>
      </c>
      <c r="E35" s="25">
        <f t="shared" si="5"/>
        <v>0</v>
      </c>
      <c r="F35" s="25">
        <f t="shared" si="6"/>
        <v>0</v>
      </c>
      <c r="G35" s="25">
        <f t="shared" si="7"/>
        <v>0</v>
      </c>
      <c r="H35" s="25">
        <f t="shared" si="8"/>
        <v>0</v>
      </c>
      <c r="I35" s="36">
        <f t="shared" si="9"/>
        <v>0</v>
      </c>
      <c r="J35" s="36">
        <f t="shared" si="10"/>
        <v>0</v>
      </c>
      <c r="K35" s="36">
        <f t="shared" si="11"/>
        <v>0</v>
      </c>
      <c r="L35" s="36">
        <f t="shared" ref="L35:L43" si="12">$M$2</f>
        <v>0</v>
      </c>
      <c r="M35" s="25"/>
      <c r="N35" s="25"/>
      <c r="O35" s="25"/>
      <c r="P35" s="25"/>
      <c r="Q35" s="25"/>
      <c r="R35" s="25"/>
      <c r="S35" s="25"/>
      <c r="T35" s="25"/>
      <c r="U35" s="25">
        <f t="shared" si="3"/>
        <v>0</v>
      </c>
      <c r="V35" s="39" t="s">
        <v>9</v>
      </c>
      <c r="W35" s="25">
        <f>IF(M3=0, W34, M3)</f>
        <v>0</v>
      </c>
    </row>
    <row r="36" spans="1:23" x14ac:dyDescent="0.35">
      <c r="A36" s="36">
        <f t="shared" si="0"/>
        <v>0</v>
      </c>
      <c r="B36" s="25">
        <f t="shared" si="1"/>
        <v>0</v>
      </c>
      <c r="C36" s="25">
        <f t="shared" si="2"/>
        <v>0</v>
      </c>
      <c r="D36" s="25">
        <f t="shared" si="4"/>
        <v>0</v>
      </c>
      <c r="E36" s="25">
        <f t="shared" si="5"/>
        <v>0</v>
      </c>
      <c r="F36" s="25">
        <f t="shared" si="6"/>
        <v>0</v>
      </c>
      <c r="G36" s="25">
        <f t="shared" si="7"/>
        <v>0</v>
      </c>
      <c r="H36" s="36">
        <f t="shared" si="8"/>
        <v>0</v>
      </c>
      <c r="I36" s="25">
        <f t="shared" si="9"/>
        <v>0</v>
      </c>
      <c r="J36" s="36">
        <f t="shared" si="10"/>
        <v>0</v>
      </c>
      <c r="K36" s="36">
        <f t="shared" si="11"/>
        <v>0</v>
      </c>
      <c r="L36" s="36">
        <f t="shared" si="12"/>
        <v>0</v>
      </c>
      <c r="M36" s="36">
        <f t="shared" ref="M36:M43" si="13">$N$2</f>
        <v>0</v>
      </c>
      <c r="N36" s="25"/>
      <c r="O36" s="25"/>
      <c r="P36" s="25"/>
      <c r="Q36" s="25"/>
      <c r="R36" s="25"/>
      <c r="S36" s="25"/>
      <c r="T36" s="25"/>
      <c r="U36" s="25">
        <f t="shared" si="3"/>
        <v>0</v>
      </c>
      <c r="V36" s="39" t="s">
        <v>9</v>
      </c>
      <c r="W36" s="25">
        <f>IF(N3=0, W35, N3)</f>
        <v>0</v>
      </c>
    </row>
    <row r="37" spans="1:23" x14ac:dyDescent="0.35">
      <c r="A37" s="36">
        <f t="shared" si="0"/>
        <v>0</v>
      </c>
      <c r="B37" s="25">
        <f t="shared" si="1"/>
        <v>0</v>
      </c>
      <c r="C37" s="25">
        <f t="shared" si="2"/>
        <v>0</v>
      </c>
      <c r="D37" s="25">
        <f t="shared" si="4"/>
        <v>0</v>
      </c>
      <c r="E37" s="25">
        <f t="shared" si="5"/>
        <v>0</v>
      </c>
      <c r="F37" s="25">
        <f t="shared" si="6"/>
        <v>0</v>
      </c>
      <c r="G37" s="36">
        <f t="shared" si="7"/>
        <v>0</v>
      </c>
      <c r="H37" s="25">
        <f t="shared" si="8"/>
        <v>0</v>
      </c>
      <c r="I37" s="36">
        <f t="shared" si="9"/>
        <v>0</v>
      </c>
      <c r="J37" s="36">
        <f t="shared" si="10"/>
        <v>0</v>
      </c>
      <c r="K37" s="36">
        <f t="shared" si="11"/>
        <v>0</v>
      </c>
      <c r="L37" s="36">
        <f t="shared" si="12"/>
        <v>0</v>
      </c>
      <c r="M37" s="36">
        <f t="shared" si="13"/>
        <v>0</v>
      </c>
      <c r="N37" s="36">
        <f t="shared" ref="N37:N43" si="14">$O$2</f>
        <v>0</v>
      </c>
      <c r="O37" s="25"/>
      <c r="P37" s="25"/>
      <c r="Q37" s="25"/>
      <c r="R37" s="25"/>
      <c r="S37" s="25"/>
      <c r="T37" s="25"/>
      <c r="U37" s="25">
        <f t="shared" si="3"/>
        <v>0</v>
      </c>
      <c r="V37" s="39" t="s">
        <v>9</v>
      </c>
      <c r="W37" s="25">
        <f>IF(O3=0, W36, O3)</f>
        <v>0</v>
      </c>
    </row>
    <row r="38" spans="1:23" x14ac:dyDescent="0.35">
      <c r="A38" s="36">
        <f t="shared" si="0"/>
        <v>0</v>
      </c>
      <c r="B38" s="25">
        <f t="shared" si="1"/>
        <v>0</v>
      </c>
      <c r="C38" s="25">
        <f>$D$2</f>
        <v>0</v>
      </c>
      <c r="D38" s="25">
        <f t="shared" si="4"/>
        <v>0</v>
      </c>
      <c r="E38" s="25">
        <f t="shared" si="5"/>
        <v>0</v>
      </c>
      <c r="F38" s="36">
        <f t="shared" si="6"/>
        <v>0</v>
      </c>
      <c r="G38" s="25">
        <f t="shared" si="7"/>
        <v>0</v>
      </c>
      <c r="H38" s="25">
        <f t="shared" si="8"/>
        <v>0</v>
      </c>
      <c r="I38" s="25">
        <f t="shared" si="9"/>
        <v>0</v>
      </c>
      <c r="J38" s="36">
        <f t="shared" si="10"/>
        <v>0</v>
      </c>
      <c r="K38" s="36">
        <f t="shared" si="11"/>
        <v>0</v>
      </c>
      <c r="L38" s="36">
        <f t="shared" si="12"/>
        <v>0</v>
      </c>
      <c r="M38" s="36">
        <f t="shared" si="13"/>
        <v>0</v>
      </c>
      <c r="N38" s="36">
        <f t="shared" si="14"/>
        <v>0</v>
      </c>
      <c r="O38" s="36">
        <f t="shared" ref="O38:O43" si="15">$P$2</f>
        <v>0</v>
      </c>
      <c r="P38" s="25"/>
      <c r="Q38" s="25"/>
      <c r="R38" s="25"/>
      <c r="S38" s="25"/>
      <c r="T38" s="25"/>
      <c r="U38" s="25">
        <f t="shared" si="3"/>
        <v>0</v>
      </c>
      <c r="V38" s="39" t="s">
        <v>9</v>
      </c>
      <c r="W38" s="25">
        <f>IF(P3=0, W37, P3)</f>
        <v>0</v>
      </c>
    </row>
    <row r="39" spans="1:23" x14ac:dyDescent="0.35">
      <c r="A39" s="36">
        <f t="shared" si="0"/>
        <v>0</v>
      </c>
      <c r="B39" s="25">
        <f t="shared" si="1"/>
        <v>0</v>
      </c>
      <c r="C39" s="25">
        <f t="shared" si="2"/>
        <v>0</v>
      </c>
      <c r="D39" s="25">
        <f t="shared" si="4"/>
        <v>0</v>
      </c>
      <c r="E39" s="36">
        <f t="shared" si="5"/>
        <v>0</v>
      </c>
      <c r="F39" s="25">
        <f t="shared" si="6"/>
        <v>0</v>
      </c>
      <c r="G39" s="25">
        <f t="shared" si="7"/>
        <v>0</v>
      </c>
      <c r="H39" s="36">
        <f t="shared" si="8"/>
        <v>0</v>
      </c>
      <c r="I39" s="36">
        <f t="shared" si="9"/>
        <v>0</v>
      </c>
      <c r="J39" s="36">
        <f t="shared" si="10"/>
        <v>0</v>
      </c>
      <c r="K39" s="36">
        <f t="shared" si="11"/>
        <v>0</v>
      </c>
      <c r="L39" s="36">
        <f t="shared" si="12"/>
        <v>0</v>
      </c>
      <c r="M39" s="36">
        <f t="shared" si="13"/>
        <v>0</v>
      </c>
      <c r="N39" s="36">
        <f t="shared" si="14"/>
        <v>0</v>
      </c>
      <c r="O39" s="36">
        <f t="shared" si="15"/>
        <v>0</v>
      </c>
      <c r="P39" s="36">
        <f>$Q$2</f>
        <v>0</v>
      </c>
      <c r="Q39" s="25"/>
      <c r="R39" s="25"/>
      <c r="S39" s="25"/>
      <c r="T39" s="25"/>
      <c r="U39" s="25">
        <f t="shared" si="3"/>
        <v>0</v>
      </c>
      <c r="V39" s="39" t="s">
        <v>9</v>
      </c>
      <c r="W39" s="25">
        <f>IF(Q3=0, W38, Q3)</f>
        <v>0</v>
      </c>
    </row>
    <row r="40" spans="1:23" x14ac:dyDescent="0.35">
      <c r="A40" s="36">
        <f t="shared" si="0"/>
        <v>0</v>
      </c>
      <c r="B40" s="25">
        <f t="shared" si="1"/>
        <v>0</v>
      </c>
      <c r="C40" s="25">
        <f t="shared" si="2"/>
        <v>0</v>
      </c>
      <c r="D40" s="36">
        <f t="shared" si="4"/>
        <v>0</v>
      </c>
      <c r="E40" s="25">
        <f t="shared" si="5"/>
        <v>0</v>
      </c>
      <c r="F40" s="25">
        <f t="shared" si="6"/>
        <v>0</v>
      </c>
      <c r="G40" s="25">
        <f t="shared" si="7"/>
        <v>0</v>
      </c>
      <c r="H40" s="25">
        <f t="shared" si="8"/>
        <v>0</v>
      </c>
      <c r="I40" s="25">
        <f t="shared" si="9"/>
        <v>0</v>
      </c>
      <c r="J40" s="36">
        <f t="shared" si="10"/>
        <v>0</v>
      </c>
      <c r="K40" s="36">
        <f t="shared" si="11"/>
        <v>0</v>
      </c>
      <c r="L40" s="36">
        <f t="shared" si="12"/>
        <v>0</v>
      </c>
      <c r="M40" s="36">
        <f t="shared" si="13"/>
        <v>0</v>
      </c>
      <c r="N40" s="36">
        <f t="shared" si="14"/>
        <v>0</v>
      </c>
      <c r="O40" s="36">
        <f t="shared" si="15"/>
        <v>0</v>
      </c>
      <c r="P40" s="36">
        <f>$Q$2</f>
        <v>0</v>
      </c>
      <c r="Q40" s="36">
        <f>$R$2</f>
        <v>0</v>
      </c>
      <c r="R40" s="25"/>
      <c r="S40" s="25"/>
      <c r="T40" s="25"/>
      <c r="U40" s="25">
        <f t="shared" si="3"/>
        <v>0</v>
      </c>
      <c r="V40" s="39" t="s">
        <v>9</v>
      </c>
      <c r="W40" s="25">
        <f>IF(R3=0, W39, R3)</f>
        <v>0</v>
      </c>
    </row>
    <row r="41" spans="1:23" x14ac:dyDescent="0.35">
      <c r="A41" s="36">
        <f t="shared" si="0"/>
        <v>0</v>
      </c>
      <c r="B41" s="25">
        <f t="shared" si="1"/>
        <v>0</v>
      </c>
      <c r="C41" s="25">
        <f t="shared" si="2"/>
        <v>0</v>
      </c>
      <c r="D41" s="25">
        <f t="shared" si="4"/>
        <v>0</v>
      </c>
      <c r="E41" s="25">
        <f t="shared" si="5"/>
        <v>0</v>
      </c>
      <c r="F41" s="25">
        <f t="shared" si="6"/>
        <v>0</v>
      </c>
      <c r="G41" s="36">
        <f t="shared" si="7"/>
        <v>0</v>
      </c>
      <c r="H41" s="25">
        <f t="shared" si="8"/>
        <v>0</v>
      </c>
      <c r="I41" s="36">
        <f t="shared" si="9"/>
        <v>0</v>
      </c>
      <c r="J41" s="36">
        <f t="shared" si="10"/>
        <v>0</v>
      </c>
      <c r="K41" s="36">
        <f t="shared" si="11"/>
        <v>0</v>
      </c>
      <c r="L41" s="36">
        <f t="shared" si="12"/>
        <v>0</v>
      </c>
      <c r="M41" s="36">
        <f t="shared" si="13"/>
        <v>0</v>
      </c>
      <c r="N41" s="36">
        <f t="shared" si="14"/>
        <v>0</v>
      </c>
      <c r="O41" s="36">
        <f t="shared" si="15"/>
        <v>0</v>
      </c>
      <c r="P41" s="36">
        <f>$Q$2</f>
        <v>0</v>
      </c>
      <c r="Q41" s="36">
        <f>$R$2</f>
        <v>0</v>
      </c>
      <c r="R41" s="36">
        <f>$S$2</f>
        <v>0</v>
      </c>
      <c r="S41" s="25"/>
      <c r="T41" s="25"/>
      <c r="U41" s="25">
        <f t="shared" si="3"/>
        <v>0</v>
      </c>
      <c r="V41" s="39" t="s">
        <v>9</v>
      </c>
      <c r="W41" s="25">
        <f>IF(S3=0, W40, S3)</f>
        <v>0</v>
      </c>
    </row>
    <row r="42" spans="1:23" x14ac:dyDescent="0.35">
      <c r="A42" s="36">
        <f t="shared" si="0"/>
        <v>0</v>
      </c>
      <c r="B42" s="36">
        <f t="shared" si="1"/>
        <v>0</v>
      </c>
      <c r="C42" s="25">
        <f t="shared" si="2"/>
        <v>0</v>
      </c>
      <c r="D42" s="25">
        <f t="shared" si="4"/>
        <v>0</v>
      </c>
      <c r="E42" s="25">
        <f t="shared" si="5"/>
        <v>0</v>
      </c>
      <c r="F42" s="25">
        <f t="shared" si="6"/>
        <v>0</v>
      </c>
      <c r="G42" s="25">
        <f t="shared" si="7"/>
        <v>0</v>
      </c>
      <c r="H42" s="36">
        <f t="shared" si="8"/>
        <v>0</v>
      </c>
      <c r="I42" s="25">
        <f t="shared" si="9"/>
        <v>0</v>
      </c>
      <c r="J42" s="36">
        <f t="shared" si="10"/>
        <v>0</v>
      </c>
      <c r="K42" s="36">
        <f t="shared" si="11"/>
        <v>0</v>
      </c>
      <c r="L42" s="36">
        <f t="shared" si="12"/>
        <v>0</v>
      </c>
      <c r="M42" s="36">
        <f t="shared" si="13"/>
        <v>0</v>
      </c>
      <c r="N42" s="36">
        <f t="shared" si="14"/>
        <v>0</v>
      </c>
      <c r="O42" s="36">
        <f t="shared" si="15"/>
        <v>0</v>
      </c>
      <c r="P42" s="36">
        <f>$Q$2</f>
        <v>0</v>
      </c>
      <c r="Q42" s="36">
        <f>$R$2</f>
        <v>0</v>
      </c>
      <c r="R42" s="36">
        <f>$S$2</f>
        <v>0</v>
      </c>
      <c r="S42" s="36">
        <f>$T$2</f>
        <v>0</v>
      </c>
      <c r="T42" s="25"/>
      <c r="U42" s="25">
        <f t="shared" si="3"/>
        <v>0</v>
      </c>
      <c r="V42" s="39" t="s">
        <v>9</v>
      </c>
      <c r="W42" s="25">
        <f>IF(T3=0, W41, T3)</f>
        <v>0</v>
      </c>
    </row>
    <row r="43" spans="1:23" x14ac:dyDescent="0.35">
      <c r="A43" s="25">
        <f t="shared" si="0"/>
        <v>0</v>
      </c>
      <c r="B43" s="25">
        <f t="shared" si="1"/>
        <v>0</v>
      </c>
      <c r="C43" s="25">
        <f t="shared" si="2"/>
        <v>0</v>
      </c>
      <c r="D43" s="25">
        <f t="shared" si="4"/>
        <v>0</v>
      </c>
      <c r="E43" s="25">
        <f t="shared" si="5"/>
        <v>0</v>
      </c>
      <c r="F43" s="25">
        <f t="shared" si="6"/>
        <v>0</v>
      </c>
      <c r="G43" s="25">
        <f t="shared" si="7"/>
        <v>0</v>
      </c>
      <c r="H43" s="25">
        <f t="shared" si="8"/>
        <v>0</v>
      </c>
      <c r="I43" s="25">
        <f t="shared" si="9"/>
        <v>0</v>
      </c>
      <c r="J43" s="25">
        <f t="shared" si="10"/>
        <v>0</v>
      </c>
      <c r="K43" s="25">
        <f t="shared" si="11"/>
        <v>0</v>
      </c>
      <c r="L43" s="25">
        <f t="shared" si="12"/>
        <v>0</v>
      </c>
      <c r="M43" s="25">
        <f t="shared" si="13"/>
        <v>0</v>
      </c>
      <c r="N43" s="25">
        <f t="shared" si="14"/>
        <v>0</v>
      </c>
      <c r="O43" s="25">
        <f t="shared" si="15"/>
        <v>0</v>
      </c>
      <c r="P43" s="25">
        <f>$Q$2</f>
        <v>0</v>
      </c>
      <c r="Q43" s="25">
        <f>$R$2</f>
        <v>0</v>
      </c>
      <c r="R43" s="25">
        <f>$S$2</f>
        <v>0</v>
      </c>
      <c r="S43" s="25">
        <f>$T$2</f>
        <v>0</v>
      </c>
      <c r="T43" s="25">
        <f>$U$2</f>
        <v>0</v>
      </c>
      <c r="U43" s="25">
        <f>SUMPRODUCT(A43:T43,$B$6:$U$6)</f>
        <v>0</v>
      </c>
      <c r="V43" s="39" t="s">
        <v>9</v>
      </c>
      <c r="W43" s="25">
        <f>IF(U3=0, W42, U3)</f>
        <v>0</v>
      </c>
    </row>
  </sheetData>
  <sortState xmlns:xlrd2="http://schemas.microsoft.com/office/spreadsheetml/2017/richdata2" columnSort="1" ref="B1:CW4">
    <sortCondition ref="B3:CW3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3F316-C9DD-436F-BCA2-3A4FC603C197}">
  <sheetPr codeName="Sheet6"/>
  <dimension ref="A1:CW9"/>
  <sheetViews>
    <sheetView workbookViewId="0">
      <selection activeCell="G22" sqref="G22"/>
    </sheetView>
  </sheetViews>
  <sheetFormatPr defaultRowHeight="14.5" x14ac:dyDescent="0.35"/>
  <sheetData>
    <row r="1" spans="1:101" x14ac:dyDescent="0.35">
      <c r="A1" s="51" t="s">
        <v>1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52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CE1" s="52"/>
      <c r="CF1" s="52"/>
      <c r="CG1" s="52"/>
      <c r="CH1" s="52"/>
      <c r="CI1" s="52"/>
      <c r="CJ1" s="52"/>
      <c r="CK1" s="52"/>
      <c r="CL1" s="52"/>
      <c r="CM1" s="52"/>
      <c r="CN1" s="52"/>
      <c r="CO1" s="52"/>
      <c r="CP1" s="52"/>
      <c r="CQ1" s="52"/>
      <c r="CR1" s="52"/>
      <c r="CS1" s="52"/>
      <c r="CT1" s="52"/>
      <c r="CU1" s="52"/>
      <c r="CV1" s="52"/>
      <c r="CW1" s="53"/>
    </row>
    <row r="2" spans="1:101" x14ac:dyDescent="0.35">
      <c r="A2" s="54" t="s">
        <v>2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6"/>
    </row>
    <row r="3" spans="1:101" x14ac:dyDescent="0.35">
      <c r="A3" s="54" t="s">
        <v>3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/>
      <c r="BB3" s="55"/>
      <c r="BC3" s="55"/>
      <c r="BD3" s="55"/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55"/>
      <c r="CC3" s="55"/>
      <c r="CD3" s="55"/>
      <c r="CE3" s="55"/>
      <c r="CF3" s="55"/>
      <c r="CG3" s="55"/>
      <c r="CH3" s="55"/>
      <c r="CI3" s="55"/>
      <c r="CJ3" s="55"/>
      <c r="CK3" s="55"/>
      <c r="CL3" s="55"/>
      <c r="CM3" s="55"/>
      <c r="CN3" s="55"/>
      <c r="CO3" s="55"/>
      <c r="CP3" s="55"/>
      <c r="CQ3" s="55"/>
      <c r="CR3" s="55"/>
      <c r="CS3" s="55"/>
      <c r="CT3" s="55"/>
      <c r="CU3" s="55"/>
      <c r="CV3" s="55"/>
      <c r="CW3" s="56"/>
    </row>
    <row r="4" spans="1:101" ht="15" thickBot="1" x14ac:dyDescent="0.4">
      <c r="A4" s="57" t="s">
        <v>4</v>
      </c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9"/>
    </row>
    <row r="7" spans="1:101" ht="15" thickBot="1" x14ac:dyDescent="0.4"/>
    <row r="8" spans="1:101" ht="15" thickBot="1" x14ac:dyDescent="0.4">
      <c r="A8" s="49" t="s">
        <v>0</v>
      </c>
      <c r="B8" s="50"/>
    </row>
    <row r="9" spans="1:101" x14ac:dyDescent="0.35">
      <c r="A9" s="34"/>
      <c r="B9" s="34"/>
    </row>
  </sheetData>
  <sortState xmlns:xlrd2="http://schemas.microsoft.com/office/spreadsheetml/2017/richdata2" columnSort="1" ref="B1:CW4">
    <sortCondition ref="B3:CW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0D402-F696-41AE-8D85-91E0EFAEE8FA}">
  <sheetPr codeName="Sheet9"/>
  <dimension ref="A1:CW30"/>
  <sheetViews>
    <sheetView workbookViewId="0">
      <selection activeCell="B8" sqref="B8"/>
    </sheetView>
  </sheetViews>
  <sheetFormatPr defaultRowHeight="14.5" x14ac:dyDescent="0.35"/>
  <cols>
    <col min="2" max="2" width="10.26953125" customWidth="1"/>
  </cols>
  <sheetData>
    <row r="1" spans="1:101" x14ac:dyDescent="0.35">
      <c r="A1" s="62" t="s">
        <v>1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3"/>
      <c r="BO1" s="63"/>
      <c r="BP1" s="63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63"/>
      <c r="CJ1" s="63"/>
      <c r="CK1" s="63"/>
      <c r="CL1" s="63"/>
      <c r="CM1" s="63"/>
      <c r="CN1" s="63"/>
      <c r="CO1" s="63"/>
      <c r="CP1" s="63"/>
      <c r="CQ1" s="63"/>
      <c r="CR1" s="63"/>
      <c r="CS1" s="63"/>
      <c r="CT1" s="63"/>
      <c r="CU1" s="63"/>
      <c r="CV1" s="63"/>
      <c r="CW1" s="64"/>
    </row>
    <row r="2" spans="1:101" x14ac:dyDescent="0.35">
      <c r="A2" s="65" t="s">
        <v>2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6"/>
      <c r="CW2" s="67"/>
    </row>
    <row r="3" spans="1:101" x14ac:dyDescent="0.35">
      <c r="A3" s="65" t="s">
        <v>3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  <c r="CV3" s="66"/>
      <c r="CW3" s="67"/>
    </row>
    <row r="4" spans="1:101" ht="15" thickBot="1" x14ac:dyDescent="0.4">
      <c r="A4" s="68" t="s">
        <v>4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69"/>
      <c r="AI4" s="69"/>
      <c r="AJ4" s="69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69"/>
      <c r="BH4" s="69"/>
      <c r="BI4" s="69"/>
      <c r="BJ4" s="69"/>
      <c r="BK4" s="69"/>
      <c r="BL4" s="69"/>
      <c r="BM4" s="69"/>
      <c r="BN4" s="69"/>
      <c r="BO4" s="69"/>
      <c r="BP4" s="69"/>
      <c r="BQ4" s="69"/>
      <c r="BR4" s="69"/>
      <c r="BS4" s="69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70"/>
    </row>
    <row r="5" spans="1:101" x14ac:dyDescent="0.35">
      <c r="A5" s="44" t="s">
        <v>37</v>
      </c>
      <c r="B5" t="e">
        <f>B2/B3</f>
        <v>#DIV/0!</v>
      </c>
      <c r="C5" s="45" t="e">
        <f>C2/C3</f>
        <v>#DIV/0!</v>
      </c>
      <c r="D5" s="45" t="e">
        <f>D2/D3</f>
        <v>#DIV/0!</v>
      </c>
      <c r="E5" s="45" t="e">
        <f>E2/E3</f>
        <v>#DIV/0!</v>
      </c>
      <c r="F5" s="45" t="e">
        <f>F2/F3</f>
        <v>#DIV/0!</v>
      </c>
      <c r="G5" s="45" t="e">
        <f>G2/G3</f>
        <v>#DIV/0!</v>
      </c>
      <c r="H5" s="45" t="e">
        <f>H2/H3</f>
        <v>#DIV/0!</v>
      </c>
      <c r="I5" s="45" t="e">
        <f>I2/I3</f>
        <v>#DIV/0!</v>
      </c>
      <c r="J5" s="45" t="e">
        <f>J2/J3</f>
        <v>#DIV/0!</v>
      </c>
      <c r="K5" s="45" t="e">
        <f>K2/K3</f>
        <v>#DIV/0!</v>
      </c>
      <c r="L5" s="45" t="e">
        <f>L2/L3</f>
        <v>#DIV/0!</v>
      </c>
      <c r="M5" s="45" t="e">
        <f>M2/M3</f>
        <v>#DIV/0!</v>
      </c>
      <c r="N5" s="45" t="e">
        <f>N2/N3</f>
        <v>#DIV/0!</v>
      </c>
      <c r="O5" s="45" t="e">
        <f>O2/O3</f>
        <v>#DIV/0!</v>
      </c>
      <c r="P5" s="45" t="e">
        <f>P2/P3</f>
        <v>#DIV/0!</v>
      </c>
      <c r="Q5" s="45" t="e">
        <f>Q2/Q3</f>
        <v>#DIV/0!</v>
      </c>
      <c r="R5" s="45" t="e">
        <f>R2/R3</f>
        <v>#DIV/0!</v>
      </c>
      <c r="S5" s="45" t="e">
        <f>S2/S3</f>
        <v>#DIV/0!</v>
      </c>
      <c r="T5" s="45" t="e">
        <f>T2/T3</f>
        <v>#DIV/0!</v>
      </c>
      <c r="U5" s="45" t="e">
        <f>U2/U3</f>
        <v>#DIV/0!</v>
      </c>
      <c r="V5" s="45" t="e">
        <f>V2/V3</f>
        <v>#DIV/0!</v>
      </c>
      <c r="W5" s="45" t="e">
        <f>W2/W3</f>
        <v>#DIV/0!</v>
      </c>
      <c r="X5" s="45" t="e">
        <f>X2/X3</f>
        <v>#DIV/0!</v>
      </c>
      <c r="Y5" s="45" t="e">
        <f>Y2/Y3</f>
        <v>#DIV/0!</v>
      </c>
      <c r="Z5" s="45" t="e">
        <f>Z2/Z3</f>
        <v>#DIV/0!</v>
      </c>
      <c r="AA5" s="45" t="e">
        <f>AA2/AA3</f>
        <v>#DIV/0!</v>
      </c>
      <c r="AB5" s="45" t="e">
        <f>AB2/AB3</f>
        <v>#DIV/0!</v>
      </c>
      <c r="AC5" s="45" t="e">
        <f>AC2/AC3</f>
        <v>#DIV/0!</v>
      </c>
      <c r="AD5" s="45" t="e">
        <f>AD2/AD3</f>
        <v>#DIV/0!</v>
      </c>
      <c r="AE5" s="45" t="e">
        <f>AE2/AE3</f>
        <v>#DIV/0!</v>
      </c>
      <c r="AF5" s="45" t="e">
        <f>AF2/AF3</f>
        <v>#DIV/0!</v>
      </c>
      <c r="AG5" s="45" t="e">
        <f>AG2/AG3</f>
        <v>#DIV/0!</v>
      </c>
      <c r="AH5" s="45" t="e">
        <f>AH2/AH3</f>
        <v>#DIV/0!</v>
      </c>
      <c r="AI5" s="45" t="e">
        <f>AI2/AI3</f>
        <v>#DIV/0!</v>
      </c>
      <c r="AJ5" s="45" t="e">
        <f>AJ2/AJ3</f>
        <v>#DIV/0!</v>
      </c>
      <c r="AK5" s="45" t="e">
        <f>AK2/AK3</f>
        <v>#DIV/0!</v>
      </c>
      <c r="AL5" s="45" t="e">
        <f>AL2/AL3</f>
        <v>#DIV/0!</v>
      </c>
      <c r="AM5" s="45" t="e">
        <f>AM2/AM3</f>
        <v>#DIV/0!</v>
      </c>
      <c r="AN5" s="45" t="e">
        <f>AN2/AN3</f>
        <v>#DIV/0!</v>
      </c>
      <c r="AO5" s="45" t="e">
        <f>AO2/AO3</f>
        <v>#DIV/0!</v>
      </c>
      <c r="AP5" s="45" t="e">
        <f>AP2/AP3</f>
        <v>#DIV/0!</v>
      </c>
      <c r="AQ5" s="45" t="e">
        <f>AQ2/AQ3</f>
        <v>#DIV/0!</v>
      </c>
      <c r="AR5" s="45" t="e">
        <f>AR2/AR3</f>
        <v>#DIV/0!</v>
      </c>
      <c r="AS5" s="45" t="e">
        <f>AS2/AS3</f>
        <v>#DIV/0!</v>
      </c>
      <c r="AT5" s="45" t="e">
        <f>AT2/AT3</f>
        <v>#DIV/0!</v>
      </c>
      <c r="AU5" s="45" t="e">
        <f>AU2/AU3</f>
        <v>#DIV/0!</v>
      </c>
      <c r="AV5" s="45" t="e">
        <f>AV2/AV3</f>
        <v>#DIV/0!</v>
      </c>
      <c r="AW5" s="45" t="e">
        <f>AW2/AW3</f>
        <v>#DIV/0!</v>
      </c>
      <c r="AX5" s="45" t="e">
        <f>AX2/AX3</f>
        <v>#DIV/0!</v>
      </c>
      <c r="AY5" s="45" t="e">
        <f>AY2/AY3</f>
        <v>#DIV/0!</v>
      </c>
      <c r="AZ5" s="45" t="e">
        <f>AZ2/AZ3</f>
        <v>#DIV/0!</v>
      </c>
      <c r="BA5" s="45" t="e">
        <f>BA2/BA3</f>
        <v>#DIV/0!</v>
      </c>
      <c r="BB5" s="45" t="e">
        <f>BB2/BB3</f>
        <v>#DIV/0!</v>
      </c>
      <c r="BC5" s="45" t="e">
        <f>BC2/BC3</f>
        <v>#DIV/0!</v>
      </c>
      <c r="BD5" s="45" t="e">
        <f>BD2/BD3</f>
        <v>#DIV/0!</v>
      </c>
      <c r="BE5" s="45" t="e">
        <f>BE2/BE3</f>
        <v>#DIV/0!</v>
      </c>
      <c r="BF5" s="45" t="e">
        <f>BF2/BF3</f>
        <v>#DIV/0!</v>
      </c>
      <c r="BG5" s="45" t="e">
        <f>BG2/BG3</f>
        <v>#DIV/0!</v>
      </c>
      <c r="BH5" s="45" t="e">
        <f>BH2/BH3</f>
        <v>#DIV/0!</v>
      </c>
      <c r="BI5" s="45" t="e">
        <f>BI2/BI3</f>
        <v>#DIV/0!</v>
      </c>
      <c r="BJ5" s="45" t="e">
        <f>BJ2/BJ3</f>
        <v>#DIV/0!</v>
      </c>
      <c r="BK5" s="45" t="e">
        <f>BK2/BK3</f>
        <v>#DIV/0!</v>
      </c>
      <c r="BL5" s="45" t="e">
        <f>BL2/BL3</f>
        <v>#DIV/0!</v>
      </c>
      <c r="BM5" s="45" t="e">
        <f>BM2/BM3</f>
        <v>#DIV/0!</v>
      </c>
      <c r="BN5" s="45" t="e">
        <f>BN2/BN3</f>
        <v>#DIV/0!</v>
      </c>
      <c r="BO5" s="45" t="e">
        <f>BO2/BO3</f>
        <v>#DIV/0!</v>
      </c>
      <c r="BP5" s="45" t="e">
        <f>BP2/BP3</f>
        <v>#DIV/0!</v>
      </c>
      <c r="BQ5" s="45" t="e">
        <f>BQ2/BQ3</f>
        <v>#DIV/0!</v>
      </c>
      <c r="BR5" s="45" t="e">
        <f>BR2/BR3</f>
        <v>#DIV/0!</v>
      </c>
      <c r="BS5" s="45" t="e">
        <f>BS2/BS3</f>
        <v>#DIV/0!</v>
      </c>
      <c r="BT5" s="45" t="e">
        <f>BT2/BT3</f>
        <v>#DIV/0!</v>
      </c>
      <c r="BU5" s="45" t="e">
        <f>BU2/BU3</f>
        <v>#DIV/0!</v>
      </c>
      <c r="BV5" s="45" t="e">
        <f>BV2/BV3</f>
        <v>#DIV/0!</v>
      </c>
      <c r="BW5" s="45" t="e">
        <f>BW2/BW3</f>
        <v>#DIV/0!</v>
      </c>
      <c r="BX5" s="45" t="e">
        <f>BX2/BX3</f>
        <v>#DIV/0!</v>
      </c>
      <c r="BY5" s="45" t="e">
        <f>BY2/BY3</f>
        <v>#DIV/0!</v>
      </c>
      <c r="BZ5" s="45" t="e">
        <f>BZ2/BZ3</f>
        <v>#DIV/0!</v>
      </c>
      <c r="CA5" s="45" t="e">
        <f>CA2/CA3</f>
        <v>#DIV/0!</v>
      </c>
      <c r="CB5" s="45" t="e">
        <f>CB2/CB3</f>
        <v>#DIV/0!</v>
      </c>
      <c r="CC5" s="45" t="e">
        <f>CC2/CC3</f>
        <v>#DIV/0!</v>
      </c>
      <c r="CD5" s="45" t="e">
        <f>CD2/CD3</f>
        <v>#DIV/0!</v>
      </c>
      <c r="CE5" s="45" t="e">
        <f>CE2/CE3</f>
        <v>#DIV/0!</v>
      </c>
      <c r="CF5" s="45" t="e">
        <f>CF2/CF3</f>
        <v>#DIV/0!</v>
      </c>
      <c r="CG5" s="45" t="e">
        <f>CG2/CG3</f>
        <v>#DIV/0!</v>
      </c>
      <c r="CH5" s="45" t="e">
        <f>CH2/CH3</f>
        <v>#DIV/0!</v>
      </c>
      <c r="CI5" s="45" t="e">
        <f>CI2/CI3</f>
        <v>#DIV/0!</v>
      </c>
      <c r="CJ5" s="45" t="e">
        <f>CJ2/CJ3</f>
        <v>#DIV/0!</v>
      </c>
      <c r="CK5" s="45" t="e">
        <f>CK2/CK3</f>
        <v>#DIV/0!</v>
      </c>
      <c r="CL5" s="45" t="e">
        <f>CL2/CL3</f>
        <v>#DIV/0!</v>
      </c>
      <c r="CM5" s="45" t="e">
        <f>CM2/CM3</f>
        <v>#DIV/0!</v>
      </c>
      <c r="CN5" s="45" t="e">
        <f>CN2/CN3</f>
        <v>#DIV/0!</v>
      </c>
      <c r="CO5" s="45" t="e">
        <f>CO2/CO3</f>
        <v>#DIV/0!</v>
      </c>
      <c r="CP5" s="45" t="e">
        <f>CP2/CP3</f>
        <v>#DIV/0!</v>
      </c>
      <c r="CQ5" s="45" t="e">
        <f>CQ2/CQ3</f>
        <v>#DIV/0!</v>
      </c>
      <c r="CR5" s="45" t="e">
        <f>CR2/CR3</f>
        <v>#DIV/0!</v>
      </c>
      <c r="CS5" s="45" t="e">
        <f>CS2/CS3</f>
        <v>#DIV/0!</v>
      </c>
      <c r="CT5" s="45" t="e">
        <f>CT2/CT3</f>
        <v>#DIV/0!</v>
      </c>
      <c r="CU5" s="45" t="e">
        <f>CU2/CU3</f>
        <v>#DIV/0!</v>
      </c>
      <c r="CV5" s="45" t="e">
        <f>CV2/CV3</f>
        <v>#DIV/0!</v>
      </c>
      <c r="CW5" s="45" t="e">
        <f>CW2/CW3</f>
        <v>#DIV/0!</v>
      </c>
    </row>
    <row r="6" spans="1:101" x14ac:dyDescent="0.35">
      <c r="A6" s="44" t="s">
        <v>38</v>
      </c>
      <c r="B6" t="e">
        <f>B4/B5</f>
        <v>#DIV/0!</v>
      </c>
      <c r="C6" s="45" t="e">
        <f>C4/C5</f>
        <v>#DIV/0!</v>
      </c>
      <c r="D6" s="45" t="e">
        <f>D4/D5</f>
        <v>#DIV/0!</v>
      </c>
      <c r="E6" s="45" t="e">
        <f>E4/E5</f>
        <v>#DIV/0!</v>
      </c>
      <c r="F6" s="45" t="e">
        <f>F4/F5</f>
        <v>#DIV/0!</v>
      </c>
      <c r="G6" s="45" t="e">
        <f>G4/G5</f>
        <v>#DIV/0!</v>
      </c>
      <c r="H6" s="45" t="e">
        <f>H4/H5</f>
        <v>#DIV/0!</v>
      </c>
      <c r="I6" s="45" t="e">
        <f>I4/I5</f>
        <v>#DIV/0!</v>
      </c>
      <c r="J6" s="45" t="e">
        <f>J4/J5</f>
        <v>#DIV/0!</v>
      </c>
      <c r="K6" s="45" t="e">
        <f>K4/K5</f>
        <v>#DIV/0!</v>
      </c>
      <c r="L6" s="45" t="e">
        <f>L4/L5</f>
        <v>#DIV/0!</v>
      </c>
      <c r="M6" s="45" t="e">
        <f>M4/M5</f>
        <v>#DIV/0!</v>
      </c>
      <c r="N6" s="45" t="e">
        <f>N4/N5</f>
        <v>#DIV/0!</v>
      </c>
      <c r="O6" s="45" t="e">
        <f>O4/O5</f>
        <v>#DIV/0!</v>
      </c>
      <c r="P6" s="45" t="e">
        <f>P4/P5</f>
        <v>#DIV/0!</v>
      </c>
      <c r="Q6" s="45" t="e">
        <f>Q4/Q5</f>
        <v>#DIV/0!</v>
      </c>
      <c r="R6" s="45" t="e">
        <f>R4/R5</f>
        <v>#DIV/0!</v>
      </c>
      <c r="S6" s="45" t="e">
        <f>S4/S5</f>
        <v>#DIV/0!</v>
      </c>
      <c r="T6" s="45" t="e">
        <f>T4/T5</f>
        <v>#DIV/0!</v>
      </c>
      <c r="U6" s="45" t="e">
        <f>U4/U5</f>
        <v>#DIV/0!</v>
      </c>
      <c r="V6" s="45" t="e">
        <f>V4/V5</f>
        <v>#DIV/0!</v>
      </c>
      <c r="W6" s="45" t="e">
        <f>W4/W5</f>
        <v>#DIV/0!</v>
      </c>
      <c r="X6" s="45" t="e">
        <f>X4/X5</f>
        <v>#DIV/0!</v>
      </c>
      <c r="Y6" s="45" t="e">
        <f>Y4/Y5</f>
        <v>#DIV/0!</v>
      </c>
      <c r="Z6" s="45" t="e">
        <f>Z4/Z5</f>
        <v>#DIV/0!</v>
      </c>
      <c r="AA6" s="45" t="e">
        <f>AA4/AA5</f>
        <v>#DIV/0!</v>
      </c>
      <c r="AB6" s="45" t="e">
        <f>AB4/AB5</f>
        <v>#DIV/0!</v>
      </c>
      <c r="AC6" s="45" t="e">
        <f>AC4/AC5</f>
        <v>#DIV/0!</v>
      </c>
      <c r="AD6" s="45" t="e">
        <f>AD4/AD5</f>
        <v>#DIV/0!</v>
      </c>
      <c r="AE6" s="45" t="e">
        <f>AE4/AE5</f>
        <v>#DIV/0!</v>
      </c>
      <c r="AF6" s="45" t="e">
        <f>AF4/AF5</f>
        <v>#DIV/0!</v>
      </c>
      <c r="AG6" s="45" t="e">
        <f>AG4/AG5</f>
        <v>#DIV/0!</v>
      </c>
      <c r="AH6" s="45" t="e">
        <f>AH4/AH5</f>
        <v>#DIV/0!</v>
      </c>
      <c r="AI6" s="45" t="e">
        <f>AI4/AI5</f>
        <v>#DIV/0!</v>
      </c>
      <c r="AJ6" s="45" t="e">
        <f>AJ4/AJ5</f>
        <v>#DIV/0!</v>
      </c>
      <c r="AK6" s="45" t="e">
        <f>AK4/AK5</f>
        <v>#DIV/0!</v>
      </c>
      <c r="AL6" s="45" t="e">
        <f>AL4/AL5</f>
        <v>#DIV/0!</v>
      </c>
      <c r="AM6" s="45" t="e">
        <f>AM4/AM5</f>
        <v>#DIV/0!</v>
      </c>
      <c r="AN6" s="45" t="e">
        <f>AN4/AN5</f>
        <v>#DIV/0!</v>
      </c>
      <c r="AO6" s="45" t="e">
        <f>AO4/AO5</f>
        <v>#DIV/0!</v>
      </c>
      <c r="AP6" s="45" t="e">
        <f>AP4/AP5</f>
        <v>#DIV/0!</v>
      </c>
      <c r="AQ6" s="45" t="e">
        <f>AQ4/AQ5</f>
        <v>#DIV/0!</v>
      </c>
      <c r="AR6" s="45" t="e">
        <f>AR4/AR5</f>
        <v>#DIV/0!</v>
      </c>
      <c r="AS6" s="45" t="e">
        <f>AS4/AS5</f>
        <v>#DIV/0!</v>
      </c>
      <c r="AT6" s="45" t="e">
        <f>AT4/AT5</f>
        <v>#DIV/0!</v>
      </c>
      <c r="AU6" s="45" t="e">
        <f>AU4/AU5</f>
        <v>#DIV/0!</v>
      </c>
      <c r="AV6" s="45" t="e">
        <f>AV4/AV5</f>
        <v>#DIV/0!</v>
      </c>
      <c r="AW6" s="45" t="e">
        <f>AW4/AW5</f>
        <v>#DIV/0!</v>
      </c>
      <c r="AX6" s="45" t="e">
        <f>AX4/AX5</f>
        <v>#DIV/0!</v>
      </c>
      <c r="AY6" s="45" t="e">
        <f>AY4/AY5</f>
        <v>#DIV/0!</v>
      </c>
      <c r="AZ6" s="45" t="e">
        <f>AZ4/AZ5</f>
        <v>#DIV/0!</v>
      </c>
      <c r="BA6" s="45" t="e">
        <f>BA4/BA5</f>
        <v>#DIV/0!</v>
      </c>
      <c r="BB6" s="45" t="e">
        <f>BB4/BB5</f>
        <v>#DIV/0!</v>
      </c>
      <c r="BC6" s="45" t="e">
        <f>BC4/BC5</f>
        <v>#DIV/0!</v>
      </c>
      <c r="BD6" s="45" t="e">
        <f>BD4/BD5</f>
        <v>#DIV/0!</v>
      </c>
      <c r="BE6" s="45" t="e">
        <f>BE4/BE5</f>
        <v>#DIV/0!</v>
      </c>
      <c r="BF6" s="45" t="e">
        <f>BF4/BF5</f>
        <v>#DIV/0!</v>
      </c>
      <c r="BG6" s="45" t="e">
        <f>BG4/BG5</f>
        <v>#DIV/0!</v>
      </c>
      <c r="BH6" s="45" t="e">
        <f>BH4/BH5</f>
        <v>#DIV/0!</v>
      </c>
      <c r="BI6" s="45" t="e">
        <f>BI4/BI5</f>
        <v>#DIV/0!</v>
      </c>
      <c r="BJ6" s="45" t="e">
        <f>BJ4/BJ5</f>
        <v>#DIV/0!</v>
      </c>
      <c r="BK6" s="45" t="e">
        <f>BK4/BK5</f>
        <v>#DIV/0!</v>
      </c>
      <c r="BL6" s="45" t="e">
        <f>BL4/BL5</f>
        <v>#DIV/0!</v>
      </c>
      <c r="BM6" s="45" t="e">
        <f>BM4/BM5</f>
        <v>#DIV/0!</v>
      </c>
      <c r="BN6" s="45" t="e">
        <f>BN4/BN5</f>
        <v>#DIV/0!</v>
      </c>
      <c r="BO6" s="45" t="e">
        <f>BO4/BO5</f>
        <v>#DIV/0!</v>
      </c>
      <c r="BP6" s="45" t="e">
        <f>BP4/BP5</f>
        <v>#DIV/0!</v>
      </c>
      <c r="BQ6" s="45" t="e">
        <f>BQ4/BQ5</f>
        <v>#DIV/0!</v>
      </c>
      <c r="BR6" s="45" t="e">
        <f>BR4/BR5</f>
        <v>#DIV/0!</v>
      </c>
      <c r="BS6" s="45" t="e">
        <f>BS4/BS5</f>
        <v>#DIV/0!</v>
      </c>
      <c r="BT6" s="45" t="e">
        <f>BT4/BT5</f>
        <v>#DIV/0!</v>
      </c>
      <c r="BU6" s="45" t="e">
        <f>BU4/BU5</f>
        <v>#DIV/0!</v>
      </c>
      <c r="BV6" s="45" t="e">
        <f>BV4/BV5</f>
        <v>#DIV/0!</v>
      </c>
      <c r="BW6" s="45" t="e">
        <f>BW4/BW5</f>
        <v>#DIV/0!</v>
      </c>
      <c r="BX6" s="45" t="e">
        <f>BX4/BX5</f>
        <v>#DIV/0!</v>
      </c>
      <c r="BY6" s="45" t="e">
        <f>BY4/BY5</f>
        <v>#DIV/0!</v>
      </c>
      <c r="BZ6" s="45" t="e">
        <f>BZ4/BZ5</f>
        <v>#DIV/0!</v>
      </c>
      <c r="CA6" s="45" t="e">
        <f>CA4/CA5</f>
        <v>#DIV/0!</v>
      </c>
      <c r="CB6" s="45" t="e">
        <f>CB4/CB5</f>
        <v>#DIV/0!</v>
      </c>
      <c r="CC6" s="45" t="e">
        <f>CC4/CC5</f>
        <v>#DIV/0!</v>
      </c>
      <c r="CD6" s="45" t="e">
        <f>CD4/CD5</f>
        <v>#DIV/0!</v>
      </c>
      <c r="CE6" s="45" t="e">
        <f>CE4/CE5</f>
        <v>#DIV/0!</v>
      </c>
      <c r="CF6" s="45" t="e">
        <f>CF4/CF5</f>
        <v>#DIV/0!</v>
      </c>
      <c r="CG6" s="45" t="e">
        <f>CG4/CG5</f>
        <v>#DIV/0!</v>
      </c>
      <c r="CH6" s="45" t="e">
        <f>CH4/CH5</f>
        <v>#DIV/0!</v>
      </c>
      <c r="CI6" s="45" t="e">
        <f>CI4/CI5</f>
        <v>#DIV/0!</v>
      </c>
      <c r="CJ6" s="45" t="e">
        <f>CJ4/CJ5</f>
        <v>#DIV/0!</v>
      </c>
      <c r="CK6" s="45" t="e">
        <f>CK4/CK5</f>
        <v>#DIV/0!</v>
      </c>
      <c r="CL6" s="45" t="e">
        <f>CL4/CL5</f>
        <v>#DIV/0!</v>
      </c>
      <c r="CM6" s="45" t="e">
        <f>CM4/CM5</f>
        <v>#DIV/0!</v>
      </c>
      <c r="CN6" s="45" t="e">
        <f>CN4/CN5</f>
        <v>#DIV/0!</v>
      </c>
      <c r="CO6" s="45" t="e">
        <f>CO4/CO5</f>
        <v>#DIV/0!</v>
      </c>
      <c r="CP6" s="45" t="e">
        <f>CP4/CP5</f>
        <v>#DIV/0!</v>
      </c>
      <c r="CQ6" s="45" t="e">
        <f>CQ4/CQ5</f>
        <v>#DIV/0!</v>
      </c>
      <c r="CR6" s="45" t="e">
        <f>CR4/CR5</f>
        <v>#DIV/0!</v>
      </c>
      <c r="CS6" s="45" t="e">
        <f>CS4/CS5</f>
        <v>#DIV/0!</v>
      </c>
      <c r="CT6" s="45" t="e">
        <f>CT4/CT5</f>
        <v>#DIV/0!</v>
      </c>
      <c r="CU6" s="45" t="e">
        <f>CU4/CU5</f>
        <v>#DIV/0!</v>
      </c>
      <c r="CV6" s="45" t="e">
        <f>CV4/CV5</f>
        <v>#DIV/0!</v>
      </c>
      <c r="CW6" s="45" t="e">
        <f>CW4/CW5</f>
        <v>#DIV/0!</v>
      </c>
    </row>
    <row r="7" spans="1:101" ht="15" thickBot="1" x14ac:dyDescent="0.4"/>
    <row r="8" spans="1:101" ht="15" thickBot="1" x14ac:dyDescent="0.4">
      <c r="A8" s="60" t="s">
        <v>0</v>
      </c>
      <c r="B8" s="61"/>
    </row>
    <row r="10" spans="1:101" s="29" customFormat="1" x14ac:dyDescent="0.35"/>
    <row r="11" spans="1:101" s="27" customFormat="1" ht="15.5" customHeight="1" x14ac:dyDescent="0.35">
      <c r="A11" s="27" t="s">
        <v>1</v>
      </c>
    </row>
    <row r="12" spans="1:101" s="27" customFormat="1" x14ac:dyDescent="0.35">
      <c r="A12" s="27" t="s">
        <v>2</v>
      </c>
    </row>
    <row r="13" spans="1:101" s="27" customFormat="1" x14ac:dyDescent="0.35">
      <c r="A13" s="27" t="s">
        <v>3</v>
      </c>
    </row>
    <row r="14" spans="1:101" s="27" customFormat="1" x14ac:dyDescent="0.35">
      <c r="A14" s="27" t="s">
        <v>22</v>
      </c>
      <c r="B14" s="27">
        <f>B12</f>
        <v>0</v>
      </c>
      <c r="C14" s="27">
        <f>B14+C12</f>
        <v>0</v>
      </c>
      <c r="D14" s="27">
        <f>C14+D12</f>
        <v>0</v>
      </c>
      <c r="E14" s="27">
        <f t="shared" ref="E14:BP14" si="0">D14+E12</f>
        <v>0</v>
      </c>
      <c r="F14" s="27">
        <f t="shared" si="0"/>
        <v>0</v>
      </c>
      <c r="G14" s="27">
        <f t="shared" si="0"/>
        <v>0</v>
      </c>
      <c r="H14" s="27">
        <f t="shared" si="0"/>
        <v>0</v>
      </c>
      <c r="I14" s="27">
        <f t="shared" si="0"/>
        <v>0</v>
      </c>
      <c r="J14" s="27">
        <f t="shared" si="0"/>
        <v>0</v>
      </c>
      <c r="K14" s="27">
        <f t="shared" si="0"/>
        <v>0</v>
      </c>
      <c r="L14" s="27">
        <f t="shared" si="0"/>
        <v>0</v>
      </c>
      <c r="M14" s="27">
        <f t="shared" si="0"/>
        <v>0</v>
      </c>
      <c r="N14" s="27">
        <f t="shared" si="0"/>
        <v>0</v>
      </c>
      <c r="O14" s="27">
        <f t="shared" si="0"/>
        <v>0</v>
      </c>
      <c r="P14" s="27">
        <f t="shared" si="0"/>
        <v>0</v>
      </c>
      <c r="Q14" s="27">
        <f t="shared" si="0"/>
        <v>0</v>
      </c>
      <c r="R14" s="27">
        <f t="shared" si="0"/>
        <v>0</v>
      </c>
      <c r="S14" s="27">
        <f t="shared" si="0"/>
        <v>0</v>
      </c>
      <c r="T14" s="27">
        <f t="shared" si="0"/>
        <v>0</v>
      </c>
      <c r="U14" s="27">
        <f t="shared" si="0"/>
        <v>0</v>
      </c>
      <c r="V14" s="27">
        <f t="shared" si="0"/>
        <v>0</v>
      </c>
      <c r="W14" s="27">
        <f t="shared" si="0"/>
        <v>0</v>
      </c>
      <c r="X14" s="27">
        <f t="shared" si="0"/>
        <v>0</v>
      </c>
      <c r="Y14" s="27">
        <f t="shared" si="0"/>
        <v>0</v>
      </c>
      <c r="Z14" s="27">
        <f t="shared" si="0"/>
        <v>0</v>
      </c>
      <c r="AA14" s="27">
        <f t="shared" si="0"/>
        <v>0</v>
      </c>
      <c r="AB14" s="27">
        <f t="shared" si="0"/>
        <v>0</v>
      </c>
      <c r="AC14" s="27">
        <f t="shared" si="0"/>
        <v>0</v>
      </c>
      <c r="AD14" s="27">
        <f t="shared" si="0"/>
        <v>0</v>
      </c>
      <c r="AE14" s="27">
        <f t="shared" si="0"/>
        <v>0</v>
      </c>
      <c r="AF14" s="27">
        <f t="shared" si="0"/>
        <v>0</v>
      </c>
      <c r="AG14" s="27">
        <f t="shared" si="0"/>
        <v>0</v>
      </c>
      <c r="AH14" s="27">
        <f t="shared" si="0"/>
        <v>0</v>
      </c>
      <c r="AI14" s="27">
        <f t="shared" si="0"/>
        <v>0</v>
      </c>
      <c r="AJ14" s="27">
        <f t="shared" si="0"/>
        <v>0</v>
      </c>
      <c r="AK14" s="27">
        <f t="shared" si="0"/>
        <v>0</v>
      </c>
      <c r="AL14" s="27">
        <f t="shared" si="0"/>
        <v>0</v>
      </c>
      <c r="AM14" s="27">
        <f t="shared" si="0"/>
        <v>0</v>
      </c>
      <c r="AN14" s="27">
        <f t="shared" si="0"/>
        <v>0</v>
      </c>
      <c r="AO14" s="27">
        <f t="shared" si="0"/>
        <v>0</v>
      </c>
      <c r="AP14" s="27">
        <f t="shared" si="0"/>
        <v>0</v>
      </c>
      <c r="AQ14" s="27">
        <f t="shared" si="0"/>
        <v>0</v>
      </c>
      <c r="AR14" s="27">
        <f t="shared" si="0"/>
        <v>0</v>
      </c>
      <c r="AS14" s="27">
        <f t="shared" si="0"/>
        <v>0</v>
      </c>
      <c r="AT14" s="27">
        <f t="shared" si="0"/>
        <v>0</v>
      </c>
      <c r="AU14" s="27">
        <f t="shared" si="0"/>
        <v>0</v>
      </c>
      <c r="AV14" s="27">
        <f t="shared" si="0"/>
        <v>0</v>
      </c>
      <c r="AW14" s="27">
        <f t="shared" si="0"/>
        <v>0</v>
      </c>
      <c r="AX14" s="27">
        <f t="shared" si="0"/>
        <v>0</v>
      </c>
      <c r="AY14" s="27">
        <f t="shared" si="0"/>
        <v>0</v>
      </c>
      <c r="AZ14" s="27">
        <f t="shared" si="0"/>
        <v>0</v>
      </c>
      <c r="BA14" s="27">
        <f t="shared" si="0"/>
        <v>0</v>
      </c>
      <c r="BB14" s="27">
        <f t="shared" si="0"/>
        <v>0</v>
      </c>
      <c r="BC14" s="27">
        <f t="shared" si="0"/>
        <v>0</v>
      </c>
      <c r="BD14" s="27">
        <f t="shared" si="0"/>
        <v>0</v>
      </c>
      <c r="BE14" s="27">
        <f t="shared" si="0"/>
        <v>0</v>
      </c>
      <c r="BF14" s="27">
        <f t="shared" si="0"/>
        <v>0</v>
      </c>
      <c r="BG14" s="27">
        <f t="shared" si="0"/>
        <v>0</v>
      </c>
      <c r="BH14" s="27">
        <f t="shared" si="0"/>
        <v>0</v>
      </c>
      <c r="BI14" s="27">
        <f t="shared" si="0"/>
        <v>0</v>
      </c>
      <c r="BJ14" s="27">
        <f t="shared" si="0"/>
        <v>0</v>
      </c>
      <c r="BK14" s="27">
        <f t="shared" si="0"/>
        <v>0</v>
      </c>
      <c r="BL14" s="27">
        <f t="shared" si="0"/>
        <v>0</v>
      </c>
      <c r="BM14" s="27">
        <f t="shared" si="0"/>
        <v>0</v>
      </c>
      <c r="BN14" s="27">
        <f t="shared" si="0"/>
        <v>0</v>
      </c>
      <c r="BO14" s="27">
        <f t="shared" si="0"/>
        <v>0</v>
      </c>
      <c r="BP14" s="27">
        <f t="shared" si="0"/>
        <v>0</v>
      </c>
      <c r="BQ14" s="27">
        <f t="shared" ref="BQ14:CW14" si="1">BP14+BQ12</f>
        <v>0</v>
      </c>
      <c r="BR14" s="27">
        <f t="shared" si="1"/>
        <v>0</v>
      </c>
      <c r="BS14" s="27">
        <f t="shared" si="1"/>
        <v>0</v>
      </c>
      <c r="BT14" s="27">
        <f t="shared" si="1"/>
        <v>0</v>
      </c>
      <c r="BU14" s="27">
        <f t="shared" si="1"/>
        <v>0</v>
      </c>
      <c r="BV14" s="27">
        <f t="shared" si="1"/>
        <v>0</v>
      </c>
      <c r="BW14" s="27">
        <f t="shared" si="1"/>
        <v>0</v>
      </c>
      <c r="BX14" s="27">
        <f t="shared" si="1"/>
        <v>0</v>
      </c>
      <c r="BY14" s="27">
        <f t="shared" si="1"/>
        <v>0</v>
      </c>
      <c r="BZ14" s="27">
        <f t="shared" si="1"/>
        <v>0</v>
      </c>
      <c r="CA14" s="27">
        <f t="shared" si="1"/>
        <v>0</v>
      </c>
      <c r="CB14" s="27">
        <f t="shared" si="1"/>
        <v>0</v>
      </c>
      <c r="CC14" s="27">
        <f t="shared" si="1"/>
        <v>0</v>
      </c>
      <c r="CD14" s="27">
        <f t="shared" si="1"/>
        <v>0</v>
      </c>
      <c r="CE14" s="27">
        <f t="shared" si="1"/>
        <v>0</v>
      </c>
      <c r="CF14" s="27">
        <f t="shared" si="1"/>
        <v>0</v>
      </c>
      <c r="CG14" s="27">
        <f t="shared" si="1"/>
        <v>0</v>
      </c>
      <c r="CH14" s="27">
        <f t="shared" si="1"/>
        <v>0</v>
      </c>
      <c r="CI14" s="27">
        <f t="shared" si="1"/>
        <v>0</v>
      </c>
      <c r="CJ14" s="27">
        <f t="shared" si="1"/>
        <v>0</v>
      </c>
      <c r="CK14" s="27">
        <f t="shared" si="1"/>
        <v>0</v>
      </c>
      <c r="CL14" s="27">
        <f t="shared" si="1"/>
        <v>0</v>
      </c>
      <c r="CM14" s="27">
        <f t="shared" si="1"/>
        <v>0</v>
      </c>
      <c r="CN14" s="27">
        <f t="shared" si="1"/>
        <v>0</v>
      </c>
      <c r="CO14" s="27">
        <f t="shared" si="1"/>
        <v>0</v>
      </c>
      <c r="CP14" s="27">
        <f t="shared" si="1"/>
        <v>0</v>
      </c>
      <c r="CQ14" s="27">
        <f t="shared" si="1"/>
        <v>0</v>
      </c>
      <c r="CR14" s="27">
        <f t="shared" si="1"/>
        <v>0</v>
      </c>
      <c r="CS14" s="27">
        <f t="shared" si="1"/>
        <v>0</v>
      </c>
      <c r="CT14" s="27">
        <f t="shared" si="1"/>
        <v>0</v>
      </c>
      <c r="CU14" s="27">
        <f t="shared" si="1"/>
        <v>0</v>
      </c>
      <c r="CV14" s="27">
        <f t="shared" si="1"/>
        <v>0</v>
      </c>
      <c r="CW14" s="27">
        <f t="shared" si="1"/>
        <v>0</v>
      </c>
    </row>
    <row r="15" spans="1:101" s="29" customFormat="1" x14ac:dyDescent="0.35"/>
    <row r="16" spans="1:101" s="29" customFormat="1" x14ac:dyDescent="0.35"/>
    <row r="17" spans="1:101" s="29" customFormat="1" x14ac:dyDescent="0.35">
      <c r="A17" s="29" t="s">
        <v>23</v>
      </c>
    </row>
    <row r="18" spans="1:101" s="27" customFormat="1" ht="15.5" customHeight="1" x14ac:dyDescent="0.35">
      <c r="A18" s="27" t="s">
        <v>1</v>
      </c>
    </row>
    <row r="19" spans="1:101" s="27" customFormat="1" x14ac:dyDescent="0.35">
      <c r="A19" s="27" t="s">
        <v>2</v>
      </c>
    </row>
    <row r="20" spans="1:101" s="27" customFormat="1" x14ac:dyDescent="0.35">
      <c r="A20" s="27" t="s">
        <v>3</v>
      </c>
    </row>
    <row r="21" spans="1:101" s="27" customFormat="1" x14ac:dyDescent="0.35">
      <c r="A21" s="27" t="s">
        <v>22</v>
      </c>
      <c r="B21" s="27">
        <f>B19</f>
        <v>0</v>
      </c>
      <c r="C21" s="27">
        <f>B21+C19</f>
        <v>0</v>
      </c>
      <c r="D21" s="27">
        <f>C21+D19</f>
        <v>0</v>
      </c>
      <c r="E21" s="27">
        <f t="shared" ref="E21:BP21" si="2">D21+E19</f>
        <v>0</v>
      </c>
      <c r="F21" s="27">
        <f t="shared" si="2"/>
        <v>0</v>
      </c>
      <c r="G21" s="27">
        <f t="shared" si="2"/>
        <v>0</v>
      </c>
      <c r="H21" s="27">
        <f t="shared" si="2"/>
        <v>0</v>
      </c>
      <c r="I21" s="27">
        <f t="shared" si="2"/>
        <v>0</v>
      </c>
      <c r="J21" s="27">
        <f t="shared" si="2"/>
        <v>0</v>
      </c>
      <c r="K21" s="27">
        <f t="shared" si="2"/>
        <v>0</v>
      </c>
      <c r="L21" s="27">
        <f t="shared" si="2"/>
        <v>0</v>
      </c>
      <c r="M21" s="27">
        <f t="shared" si="2"/>
        <v>0</v>
      </c>
      <c r="N21" s="27">
        <f t="shared" si="2"/>
        <v>0</v>
      </c>
      <c r="O21" s="27">
        <f t="shared" si="2"/>
        <v>0</v>
      </c>
      <c r="P21" s="27">
        <f t="shared" si="2"/>
        <v>0</v>
      </c>
      <c r="Q21" s="27">
        <f t="shared" si="2"/>
        <v>0</v>
      </c>
      <c r="R21" s="27">
        <f t="shared" si="2"/>
        <v>0</v>
      </c>
      <c r="S21" s="27">
        <f t="shared" si="2"/>
        <v>0</v>
      </c>
      <c r="T21" s="27">
        <f t="shared" si="2"/>
        <v>0</v>
      </c>
      <c r="U21" s="27">
        <f t="shared" si="2"/>
        <v>0</v>
      </c>
      <c r="V21" s="27">
        <f t="shared" si="2"/>
        <v>0</v>
      </c>
      <c r="W21" s="27">
        <f t="shared" si="2"/>
        <v>0</v>
      </c>
      <c r="X21" s="27">
        <f t="shared" si="2"/>
        <v>0</v>
      </c>
      <c r="Y21" s="27">
        <f t="shared" si="2"/>
        <v>0</v>
      </c>
      <c r="Z21" s="27">
        <f t="shared" si="2"/>
        <v>0</v>
      </c>
      <c r="AA21" s="27">
        <f t="shared" si="2"/>
        <v>0</v>
      </c>
      <c r="AB21" s="27">
        <f t="shared" si="2"/>
        <v>0</v>
      </c>
      <c r="AC21" s="27">
        <f t="shared" si="2"/>
        <v>0</v>
      </c>
      <c r="AD21" s="27">
        <f t="shared" si="2"/>
        <v>0</v>
      </c>
      <c r="AE21" s="27">
        <f t="shared" si="2"/>
        <v>0</v>
      </c>
      <c r="AF21" s="27">
        <f t="shared" si="2"/>
        <v>0</v>
      </c>
      <c r="AG21" s="27">
        <f t="shared" si="2"/>
        <v>0</v>
      </c>
      <c r="AH21" s="27">
        <f t="shared" si="2"/>
        <v>0</v>
      </c>
      <c r="AI21" s="27">
        <f t="shared" si="2"/>
        <v>0</v>
      </c>
      <c r="AJ21" s="27">
        <f t="shared" si="2"/>
        <v>0</v>
      </c>
      <c r="AK21" s="27">
        <f t="shared" si="2"/>
        <v>0</v>
      </c>
      <c r="AL21" s="27">
        <f t="shared" si="2"/>
        <v>0</v>
      </c>
      <c r="AM21" s="27">
        <f t="shared" si="2"/>
        <v>0</v>
      </c>
      <c r="AN21" s="27">
        <f t="shared" si="2"/>
        <v>0</v>
      </c>
      <c r="AO21" s="27">
        <f t="shared" si="2"/>
        <v>0</v>
      </c>
      <c r="AP21" s="27">
        <f t="shared" si="2"/>
        <v>0</v>
      </c>
      <c r="AQ21" s="27">
        <f t="shared" si="2"/>
        <v>0</v>
      </c>
      <c r="AR21" s="27">
        <f t="shared" si="2"/>
        <v>0</v>
      </c>
      <c r="AS21" s="27">
        <f t="shared" si="2"/>
        <v>0</v>
      </c>
      <c r="AT21" s="27">
        <f t="shared" si="2"/>
        <v>0</v>
      </c>
      <c r="AU21" s="27">
        <f t="shared" si="2"/>
        <v>0</v>
      </c>
      <c r="AV21" s="27">
        <f t="shared" si="2"/>
        <v>0</v>
      </c>
      <c r="AW21" s="27">
        <f t="shared" si="2"/>
        <v>0</v>
      </c>
      <c r="AX21" s="27">
        <f t="shared" si="2"/>
        <v>0</v>
      </c>
      <c r="AY21" s="27">
        <f t="shared" si="2"/>
        <v>0</v>
      </c>
      <c r="AZ21" s="27">
        <f t="shared" si="2"/>
        <v>0</v>
      </c>
      <c r="BA21" s="27">
        <f t="shared" si="2"/>
        <v>0</v>
      </c>
      <c r="BB21" s="27">
        <f t="shared" si="2"/>
        <v>0</v>
      </c>
      <c r="BC21" s="27">
        <f t="shared" si="2"/>
        <v>0</v>
      </c>
      <c r="BD21" s="27">
        <f t="shared" si="2"/>
        <v>0</v>
      </c>
      <c r="BE21" s="27">
        <f t="shared" si="2"/>
        <v>0</v>
      </c>
      <c r="BF21" s="27">
        <f t="shared" si="2"/>
        <v>0</v>
      </c>
      <c r="BG21" s="27">
        <f t="shared" si="2"/>
        <v>0</v>
      </c>
      <c r="BH21" s="27">
        <f t="shared" si="2"/>
        <v>0</v>
      </c>
      <c r="BI21" s="27">
        <f t="shared" si="2"/>
        <v>0</v>
      </c>
      <c r="BJ21" s="27">
        <f t="shared" si="2"/>
        <v>0</v>
      </c>
      <c r="BK21" s="27">
        <f t="shared" si="2"/>
        <v>0</v>
      </c>
      <c r="BL21" s="27">
        <f t="shared" si="2"/>
        <v>0</v>
      </c>
      <c r="BM21" s="27">
        <f t="shared" si="2"/>
        <v>0</v>
      </c>
      <c r="BN21" s="27">
        <f t="shared" si="2"/>
        <v>0</v>
      </c>
      <c r="BO21" s="27">
        <f t="shared" si="2"/>
        <v>0</v>
      </c>
      <c r="BP21" s="27">
        <f t="shared" si="2"/>
        <v>0</v>
      </c>
      <c r="BQ21" s="27">
        <f t="shared" ref="BQ21:CW21" si="3">BP21+BQ19</f>
        <v>0</v>
      </c>
      <c r="BR21" s="27">
        <f t="shared" si="3"/>
        <v>0</v>
      </c>
      <c r="BS21" s="27">
        <f t="shared" si="3"/>
        <v>0</v>
      </c>
      <c r="BT21" s="27">
        <f t="shared" si="3"/>
        <v>0</v>
      </c>
      <c r="BU21" s="27">
        <f t="shared" si="3"/>
        <v>0</v>
      </c>
      <c r="BV21" s="27">
        <f t="shared" si="3"/>
        <v>0</v>
      </c>
      <c r="BW21" s="27">
        <f t="shared" si="3"/>
        <v>0</v>
      </c>
      <c r="BX21" s="27">
        <f t="shared" si="3"/>
        <v>0</v>
      </c>
      <c r="BY21" s="27">
        <f t="shared" si="3"/>
        <v>0</v>
      </c>
      <c r="BZ21" s="27">
        <f t="shared" si="3"/>
        <v>0</v>
      </c>
      <c r="CA21" s="27">
        <f t="shared" si="3"/>
        <v>0</v>
      </c>
      <c r="CB21" s="27">
        <f t="shared" si="3"/>
        <v>0</v>
      </c>
      <c r="CC21" s="27">
        <f t="shared" si="3"/>
        <v>0</v>
      </c>
      <c r="CD21" s="27">
        <f t="shared" si="3"/>
        <v>0</v>
      </c>
      <c r="CE21" s="27">
        <f t="shared" si="3"/>
        <v>0</v>
      </c>
      <c r="CF21" s="27">
        <f t="shared" si="3"/>
        <v>0</v>
      </c>
      <c r="CG21" s="27">
        <f t="shared" si="3"/>
        <v>0</v>
      </c>
      <c r="CH21" s="27">
        <f t="shared" si="3"/>
        <v>0</v>
      </c>
      <c r="CI21" s="27">
        <f t="shared" si="3"/>
        <v>0</v>
      </c>
      <c r="CJ21" s="27">
        <f t="shared" si="3"/>
        <v>0</v>
      </c>
      <c r="CK21" s="27">
        <f t="shared" si="3"/>
        <v>0</v>
      </c>
      <c r="CL21" s="27">
        <f t="shared" si="3"/>
        <v>0</v>
      </c>
      <c r="CM21" s="27">
        <f t="shared" si="3"/>
        <v>0</v>
      </c>
      <c r="CN21" s="27">
        <f t="shared" si="3"/>
        <v>0</v>
      </c>
      <c r="CO21" s="27">
        <f t="shared" si="3"/>
        <v>0</v>
      </c>
      <c r="CP21" s="27">
        <f t="shared" si="3"/>
        <v>0</v>
      </c>
      <c r="CQ21" s="27">
        <f t="shared" si="3"/>
        <v>0</v>
      </c>
      <c r="CR21" s="27">
        <f t="shared" si="3"/>
        <v>0</v>
      </c>
      <c r="CS21" s="27">
        <f t="shared" si="3"/>
        <v>0</v>
      </c>
      <c r="CT21" s="27">
        <f t="shared" si="3"/>
        <v>0</v>
      </c>
      <c r="CU21" s="27">
        <f t="shared" si="3"/>
        <v>0</v>
      </c>
      <c r="CV21" s="27">
        <f t="shared" si="3"/>
        <v>0</v>
      </c>
      <c r="CW21" s="27">
        <f t="shared" si="3"/>
        <v>0</v>
      </c>
    </row>
    <row r="22" spans="1:101" s="29" customFormat="1" x14ac:dyDescent="0.35"/>
    <row r="23" spans="1:101" s="29" customFormat="1" x14ac:dyDescent="0.35"/>
    <row r="24" spans="1:101" s="29" customFormat="1" x14ac:dyDescent="0.35">
      <c r="A24" s="29" t="s">
        <v>24</v>
      </c>
    </row>
    <row r="25" spans="1:101" s="27" customFormat="1" x14ac:dyDescent="0.35">
      <c r="A25" s="27" t="s">
        <v>1</v>
      </c>
    </row>
    <row r="26" spans="1:101" s="27" customFormat="1" x14ac:dyDescent="0.35">
      <c r="A26" s="27" t="s">
        <v>4</v>
      </c>
    </row>
    <row r="27" spans="1:101" s="29" customFormat="1" x14ac:dyDescent="0.35">
      <c r="A27" s="12"/>
    </row>
    <row r="28" spans="1:101" s="29" customFormat="1" x14ac:dyDescent="0.35"/>
    <row r="29" spans="1:101" s="29" customFormat="1" x14ac:dyDescent="0.35">
      <c r="B29" s="29">
        <f>SUM(26:26)</f>
        <v>0</v>
      </c>
    </row>
    <row r="30" spans="1:101" s="29" customFormat="1" x14ac:dyDescent="0.35"/>
  </sheetData>
  <sortState xmlns:xlrd2="http://schemas.microsoft.com/office/spreadsheetml/2017/richdata2" columnSort="1" ref="B11:CW13">
    <sortCondition ref="A13:CW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</vt:lpstr>
      <vt:lpstr>PartB1</vt:lpstr>
      <vt:lpstr>PartB2</vt:lpstr>
      <vt:lpstr>PartB3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Harel</dc:creator>
  <cp:lastModifiedBy>Mayda</cp:lastModifiedBy>
  <dcterms:created xsi:type="dcterms:W3CDTF">2020-10-07T12:44:38Z</dcterms:created>
  <dcterms:modified xsi:type="dcterms:W3CDTF">2021-01-03T12:41:57Z</dcterms:modified>
</cp:coreProperties>
</file>